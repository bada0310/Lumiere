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study\pjt\pjt\pjt_07\"/>
    </mc:Choice>
  </mc:AlternateContent>
  <xr:revisionPtr revIDLastSave="0" documentId="13_ncr:1_{74137169-401D-4F1B-9F4D-2AEBFD19CA76}" xr6:coauthVersionLast="47" xr6:coauthVersionMax="47" xr10:uidLastSave="{00000000-0000-0000-0000-000000000000}"/>
  <bookViews>
    <workbookView xWindow="120" yWindow="3216" windowWidth="27060" windowHeight="13908" tabRatio="500" activeTab="1" xr2:uid="{00000000-000D-0000-FFFF-FFFF00000000}"/>
  </bookViews>
  <sheets>
    <sheet name="사용 가이드" sheetId="1" r:id="rId1"/>
    <sheet name="🗓️ 간트 차트" sheetId="2" r:id="rId2"/>
    <sheet name="🔵 샘플 (AI 자소서 코칭)" sheetId="3" r:id="rId3"/>
  </sheets>
  <definedNames>
    <definedName name="_xlnm.Print_Area" localSheetId="2">'🔵 샘플 (AI 자소서 코칭)'!$A$1:$W$42</definedName>
    <definedName name="_xlnm.Print_Area" localSheetId="1">'🗓️ 간트 차트'!$A$1:$W$44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2" l="1"/>
  <c r="E30" i="2"/>
  <c r="D30" i="2"/>
  <c r="E29" i="2"/>
  <c r="D29" i="2"/>
  <c r="E28" i="2"/>
  <c r="D28" i="2"/>
  <c r="E27" i="2"/>
  <c r="D27" i="2"/>
  <c r="E25" i="2"/>
  <c r="D25" i="2"/>
  <c r="E24" i="2"/>
  <c r="D24" i="2"/>
  <c r="E23" i="2"/>
  <c r="E21" i="2"/>
  <c r="D23" i="2"/>
  <c r="D21" i="2"/>
  <c r="D20" i="2"/>
  <c r="E20" i="2"/>
  <c r="E19" i="2"/>
  <c r="D19" i="2"/>
  <c r="F19" i="2" s="1"/>
  <c r="E17" i="2"/>
  <c r="D17" i="2"/>
  <c r="F17" i="2" s="1"/>
  <c r="E16" i="2"/>
  <c r="D16" i="2"/>
  <c r="F16" i="2" s="1"/>
  <c r="E15" i="2"/>
  <c r="F15" i="2" s="1"/>
  <c r="D15" i="2"/>
  <c r="E11" i="2"/>
  <c r="E13" i="2"/>
  <c r="BC9" i="2"/>
  <c r="BB9" i="2"/>
  <c r="D32" i="2"/>
  <c r="E34" i="2"/>
  <c r="D34" i="2"/>
  <c r="F34" i="2" s="1"/>
  <c r="E33" i="2"/>
  <c r="D33" i="2"/>
  <c r="F33" i="2" s="1"/>
  <c r="E32" i="2"/>
  <c r="F32" i="2"/>
  <c r="F29" i="2"/>
  <c r="F28" i="2"/>
  <c r="F27" i="2"/>
  <c r="F24" i="2"/>
  <c r="F23" i="2"/>
  <c r="F20" i="2"/>
  <c r="D12" i="2"/>
  <c r="E12" i="2"/>
  <c r="F12" i="2"/>
  <c r="D13" i="2"/>
  <c r="F13" i="2"/>
  <c r="D11" i="2"/>
  <c r="F11" i="2" s="1"/>
  <c r="D11" i="3"/>
  <c r="AY9" i="2"/>
  <c r="BA9" i="2"/>
  <c r="AZ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G9" i="2"/>
  <c r="AH9" i="2"/>
  <c r="AI9" i="2"/>
  <c r="AJ9" i="2"/>
  <c r="AK9" i="2"/>
  <c r="X9" i="2"/>
  <c r="Y9" i="2"/>
  <c r="Z9" i="2"/>
  <c r="AA9" i="2"/>
  <c r="AB9" i="2"/>
  <c r="AC9" i="2"/>
  <c r="AD9" i="2"/>
  <c r="AE9" i="2"/>
  <c r="AF9" i="2"/>
  <c r="W9" i="2"/>
  <c r="J9" i="2"/>
  <c r="E33" i="3"/>
  <c r="D33" i="3"/>
  <c r="F33" i="3" s="1"/>
  <c r="E32" i="3"/>
  <c r="D32" i="3"/>
  <c r="F32" i="3" s="1"/>
  <c r="E31" i="3"/>
  <c r="D31" i="3"/>
  <c r="F31" i="3" s="1"/>
  <c r="E29" i="3"/>
  <c r="D29" i="3"/>
  <c r="F29" i="3" s="1"/>
  <c r="E28" i="3"/>
  <c r="D28" i="3"/>
  <c r="F28" i="3" s="1"/>
  <c r="F27" i="3"/>
  <c r="E27" i="3"/>
  <c r="D27" i="3"/>
  <c r="E25" i="3"/>
  <c r="D25" i="3"/>
  <c r="F25" i="3" s="1"/>
  <c r="E24" i="3"/>
  <c r="D24" i="3"/>
  <c r="F24" i="3" s="1"/>
  <c r="E23" i="3"/>
  <c r="D23" i="3"/>
  <c r="F23" i="3" s="1"/>
  <c r="E22" i="3"/>
  <c r="D22" i="3"/>
  <c r="F22" i="3" s="1"/>
  <c r="E20" i="3"/>
  <c r="F20" i="3" s="1"/>
  <c r="D20" i="3"/>
  <c r="E19" i="3"/>
  <c r="F19" i="3" s="1"/>
  <c r="D19" i="3"/>
  <c r="E18" i="3"/>
  <c r="D18" i="3"/>
  <c r="F18" i="3" s="1"/>
  <c r="E17" i="3"/>
  <c r="D17" i="3"/>
  <c r="F17" i="3" s="1"/>
  <c r="E16" i="3"/>
  <c r="D16" i="3"/>
  <c r="F16" i="3" s="1"/>
  <c r="F14" i="3"/>
  <c r="E14" i="3"/>
  <c r="D14" i="3"/>
  <c r="E13" i="3"/>
  <c r="F13" i="3" s="1"/>
  <c r="D13" i="3"/>
  <c r="E12" i="3"/>
  <c r="D12" i="3"/>
  <c r="F12" i="3" s="1"/>
  <c r="E11" i="3"/>
  <c r="F11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H5" i="3"/>
  <c r="E5" i="3"/>
  <c r="V9" i="2"/>
  <c r="U9" i="2"/>
  <c r="T9" i="2"/>
  <c r="S9" i="2"/>
  <c r="R9" i="2"/>
  <c r="Q9" i="2"/>
  <c r="P9" i="2"/>
  <c r="O9" i="2"/>
  <c r="N9" i="2"/>
  <c r="M9" i="2"/>
  <c r="L9" i="2"/>
  <c r="K9" i="2"/>
  <c r="H5" i="2"/>
  <c r="F25" i="2" l="1"/>
  <c r="F21" i="2"/>
</calcChain>
</file>

<file path=xl/sharedStrings.xml><?xml version="1.0" encoding="utf-8"?>
<sst xmlns="http://schemas.openxmlformats.org/spreadsheetml/2006/main" count="379" uniqueCount="230">
  <si>
    <r>
      <rPr>
        <b/>
        <sz val="20"/>
        <color rgb="FF1F4E79"/>
        <rFont val="Noto Sans CJK SC"/>
        <family val="2"/>
      </rPr>
      <t>📋 관통</t>
    </r>
    <r>
      <rPr>
        <b/>
        <sz val="20"/>
        <color rgb="FF1F4E79"/>
        <rFont val="맑은 고딕"/>
        <family val="3"/>
        <charset val="129"/>
      </rPr>
      <t xml:space="preserve">PJT </t>
    </r>
    <r>
      <rPr>
        <b/>
        <sz val="20"/>
        <color rgb="FF1F4E79"/>
        <rFont val="Noto Sans CJK SC"/>
        <family val="2"/>
      </rPr>
      <t>간트 차트 템플릿 — 사용 가이드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</si>
  <si>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</si>
  <si>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</si>
  <si>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</si>
  <si>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</si>
  <si>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</si>
  <si>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</si>
  <si>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</si>
  <si>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</si>
  <si>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r>
      <rPr>
        <sz val="10"/>
        <color rgb="FF000000"/>
        <rFont val="Noto Sans CJK SC"/>
        <family val="2"/>
      </rPr>
      <t>상단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팀명</t>
    </r>
    <r>
      <rPr>
        <sz val="10"/>
        <color rgb="FF000000"/>
        <rFont val="맑은 고딕"/>
        <family val="3"/>
        <charset val="129"/>
      </rPr>
      <t xml:space="preserve">, PJT </t>
    </r>
    <r>
      <rPr>
        <sz val="10"/>
        <color rgb="FF000000"/>
        <rFont val="Noto Sans CJK SC"/>
        <family val="2"/>
      </rPr>
      <t>제목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종료일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채웁니다</t>
    </r>
    <r>
      <rPr>
        <sz val="10"/>
        <color rgb="FF000000"/>
        <rFont val="맑은 고딕"/>
        <family val="3"/>
        <charset val="129"/>
      </rPr>
      <t>.</t>
    </r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</si>
  <si>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</si>
  <si>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</si>
  <si>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</si>
  <si>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</si>
  <si>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</si>
  <si>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</si>
  <si>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</si>
  <si>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</si>
  <si>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</si>
  <si>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</si>
  <si>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</si>
  <si>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</si>
  <si>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</si>
  <si>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</si>
  <si>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</si>
  <si>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</si>
  <si>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</si>
  <si>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</si>
  <si>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</si>
  <si>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</si>
  <si>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</si>
  <si>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</si>
  <si>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</si>
  <si>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</si>
  <si>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</si>
  <si>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</si>
  <si>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</si>
  <si>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</si>
  <si>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</si>
  <si>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</si>
  <si>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</si>
  <si>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</si>
  <si>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</si>
  <si>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</si>
  <si>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</si>
  <si>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</si>
  <si>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</si>
  <si>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</si>
  <si>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</si>
  <si>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</si>
  <si>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</si>
  <si>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</si>
  <si>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</si>
  <si>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</si>
  <si>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</si>
  <si>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</si>
  <si>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</si>
  <si>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</si>
  <si>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</si>
  <si>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</si>
  <si>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</si>
  <si>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</si>
  <si>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</si>
  <si>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</si>
  <si>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</si>
  <si>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</si>
  <si>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</si>
  <si>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</si>
  <si>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</si>
  <si>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</si>
  <si>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</si>
  <si>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</si>
  <si>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</si>
  <si>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</si>
  <si>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</si>
  <si>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</si>
  <si>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</si>
  <si>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</si>
  <si>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</si>
  <si>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</si>
  <si>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</si>
  <si>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</si>
  <si>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</si>
  <si>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</si>
  <si>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</si>
  <si>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</si>
  <si>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</si>
  <si>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</si>
  <si>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</si>
  <si>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</si>
  <si>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</si>
  <si>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</si>
  <si>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</si>
  <si>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</si>
  <si>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</si>
  <si>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</si>
  <si>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</si>
  <si>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</si>
  <si>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</si>
  <si>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</si>
  <si>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</si>
  <si>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</si>
  <si>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</si>
  <si>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</si>
  <si>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</si>
  <si>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</si>
  <si>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</si>
  <si>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</si>
  <si>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</si>
  <si>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</si>
  <si>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</si>
  <si>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</si>
  <si>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</si>
  <si>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</si>
  <si>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</si>
  <si>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</si>
  <si>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 xml:space="preserve">간트 차트  —  샘플 </t>
    </r>
    <r>
      <rPr>
        <b/>
        <sz val="18"/>
        <color rgb="FF1F4E79"/>
        <rFont val="맑은 고딕"/>
        <family val="3"/>
        <charset val="129"/>
      </rPr>
      <t xml:space="preserve">(AI </t>
    </r>
    <r>
      <rPr>
        <b/>
        <sz val="18"/>
        <color rgb="FF1F4E79"/>
        <rFont val="Noto Sans CJK SC"/>
        <family val="2"/>
      </rPr>
      <t>자소서 코칭 서비스</t>
    </r>
    <r>
      <rPr>
        <b/>
        <sz val="18"/>
        <color rgb="FF1F4E79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</si>
  <si>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</si>
  <si>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</si>
  <si>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</si>
  <si>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1.1</t>
  </si>
  <si>
    <r>
      <rPr>
        <sz val="10"/>
        <rFont val="Noto Sans CJK SC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사용자 스토리 작성</t>
    </r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</si>
  <si>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</si>
  <si>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</si>
  <si>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</si>
  <si>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</si>
  <si>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</si>
  <si>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</si>
  <si>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1.4</t>
  </si>
  <si>
    <r>
      <rPr>
        <sz val="10"/>
        <rFont val="Noto Sans CJK SC"/>
        <family val="2"/>
      </rPr>
      <t xml:space="preserve">와이어프레임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화면 설계</t>
    </r>
  </si>
  <si>
    <t>최유나</t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</si>
  <si>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</si>
  <si>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</si>
  <si>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t>2.2</t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</si>
  <si>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</si>
  <si>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2.3</t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</si>
  <si>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</si>
  <si>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t>2.1,1.3</t>
  </si>
  <si>
    <t>2.4</t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</si>
  <si>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</si>
  <si>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</si>
  <si>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</si>
  <si>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</si>
  <si>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</si>
  <si>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</si>
  <si>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3.2</t>
  </si>
  <si>
    <r>
      <rPr>
        <sz val="10"/>
        <rFont val="Noto Sans CJK SC"/>
        <family val="2"/>
      </rPr>
      <t xml:space="preserve">로그인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회원가입 페이지</t>
    </r>
  </si>
  <si>
    <t>3.3</t>
  </si>
  <si>
    <t>자소서 작성 페이지</t>
  </si>
  <si>
    <t>3.1,1.4</t>
  </si>
  <si>
    <t>3.4</t>
  </si>
  <si>
    <t>코칭 결과 페이지</t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</si>
  <si>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</si>
  <si>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</si>
  <si>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</si>
  <si>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4.2</t>
  </si>
  <si>
    <t>시나리오 통합 테스트</t>
  </si>
  <si>
    <t>4.3</t>
  </si>
  <si>
    <r>
      <rPr>
        <sz val="10"/>
        <rFont val="Noto Sans CJK SC"/>
        <family val="2"/>
      </rPr>
      <t xml:space="preserve">버그 픽스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리팩토링</t>
    </r>
  </si>
  <si>
    <t>5.1</t>
  </si>
  <si>
    <t>발표 자료 작성</t>
  </si>
  <si>
    <t>5.2</t>
  </si>
  <si>
    <t>시연 시나리오 리허설</t>
  </si>
  <si>
    <t>5.3</t>
  </si>
  <si>
    <r>
      <rPr>
        <sz val="10"/>
        <rFont val="Noto Sans CJK SC"/>
        <family val="2"/>
      </rPr>
      <t xml:space="preserve">최종 발표 </t>
    </r>
    <r>
      <rPr>
        <sz val="10"/>
        <rFont val="맑은 고딕"/>
        <family val="3"/>
        <charset val="129"/>
      </rPr>
      <t>(D-Day)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</si>
  <si>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</si>
  <si>
    <t xml:space="preserve"> 성수역</t>
    <phoneticPr fontId="30" type="noConversion"/>
  </si>
  <si>
    <t>박성은</t>
    <phoneticPr fontId="30" type="noConversion"/>
  </si>
  <si>
    <r>
      <rPr>
        <sz val="11"/>
        <color theme="1"/>
        <rFont val="맑은 고딕"/>
        <family val="3"/>
        <charset val="129"/>
      </rPr>
      <t>요구사항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명세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확정</t>
    </r>
    <phoneticPr fontId="30" type="noConversion"/>
  </si>
  <si>
    <t>화면 설계 (Wireframe/Figma) 및 User Flow 작성</t>
    <phoneticPr fontId="30" type="noConversion"/>
  </si>
  <si>
    <r>
      <rPr>
        <b/>
        <sz val="11"/>
        <color rgb="FF1F4E79"/>
        <rFont val="Segoe UI Symbol"/>
        <family val="2"/>
      </rPr>
      <t>🟩</t>
    </r>
    <r>
      <rPr>
        <b/>
        <sz val="11"/>
        <color rgb="FF1F4E79"/>
        <rFont val="맑은 고딕"/>
        <family val="3"/>
        <charset val="129"/>
      </rPr>
      <t xml:space="preserve"> Phase 2. </t>
    </r>
    <r>
      <rPr>
        <b/>
        <sz val="11"/>
        <color rgb="FF1F4E79"/>
        <rFont val="Calibri"/>
        <family val="3"/>
      </rPr>
      <t xml:space="preserve">AI </t>
    </r>
    <r>
      <rPr>
        <b/>
        <sz val="11"/>
        <color rgb="FF1F4E79"/>
        <rFont val="맑은 고딕"/>
        <family val="3"/>
        <charset val="129"/>
      </rPr>
      <t>및</t>
    </r>
    <r>
      <rPr>
        <b/>
        <sz val="11"/>
        <color rgb="FF1F4E79"/>
        <rFont val="Calibri"/>
        <family val="3"/>
      </rPr>
      <t xml:space="preserve"> </t>
    </r>
    <r>
      <rPr>
        <b/>
        <sz val="11"/>
        <color rgb="FF1F4E79"/>
        <rFont val="맑은 고딕"/>
        <family val="3"/>
        <charset val="129"/>
      </rPr>
      <t>데이터</t>
    </r>
    <phoneticPr fontId="30" type="noConversion"/>
  </si>
  <si>
    <t>퍼스널 컬러 진단 AI 모델 (톤/색상 추출) 구현</t>
    <phoneticPr fontId="30" type="noConversion"/>
  </si>
  <si>
    <t>안면/화장품 데이터셋 수집 및 정제</t>
    <phoneticPr fontId="30" type="noConversion"/>
  </si>
  <si>
    <t>외부 쇼핑몰 URL 색상 스크래핑(크롤러) 로직 개발</t>
    <phoneticPr fontId="30" type="noConversion"/>
  </si>
  <si>
    <t>클라우드 서버 인프라 구축 및 보안 설정</t>
    <phoneticPr fontId="30" type="noConversion"/>
  </si>
  <si>
    <r>
      <rPr>
        <b/>
        <sz val="11"/>
        <color rgb="FF1F4E79"/>
        <rFont val="Segoe UI Symbol"/>
        <family val="2"/>
      </rPr>
      <t>🟩</t>
    </r>
    <r>
      <rPr>
        <b/>
        <sz val="11"/>
        <color rgb="FF1F4E79"/>
        <rFont val="맑은 고딕"/>
        <family val="3"/>
        <charset val="129"/>
      </rPr>
      <t xml:space="preserve"> Phase 3. 백엔드</t>
    </r>
    <r>
      <rPr>
        <b/>
        <sz val="11"/>
        <color rgb="FF1F4E79"/>
        <rFont val="Calibri"/>
        <family val="3"/>
      </rPr>
      <t xml:space="preserve"> </t>
    </r>
    <r>
      <rPr>
        <b/>
        <sz val="11"/>
        <color rgb="FF1F4E79"/>
        <rFont val="맑은 고딕"/>
        <family val="3"/>
        <charset val="129"/>
      </rPr>
      <t>개발</t>
    </r>
    <phoneticPr fontId="30" type="noConversion"/>
  </si>
  <si>
    <t>회원가입/로그인 및 마이페이지 인증 API 개발</t>
    <phoneticPr fontId="30" type="noConversion"/>
  </si>
  <si>
    <t>AI 진단 연동 및 화장품 추천/매칭 로직 API 개발</t>
    <phoneticPr fontId="30" type="noConversion"/>
  </si>
  <si>
    <r>
      <rPr>
        <b/>
        <sz val="11"/>
        <color rgb="FF1F4E79"/>
        <rFont val="Segoe UI Symbol"/>
        <family val="2"/>
      </rPr>
      <t>🟩</t>
    </r>
    <r>
      <rPr>
        <b/>
        <sz val="11"/>
        <color rgb="FF1F4E79"/>
        <rFont val="맑은 고딕"/>
        <family val="3"/>
        <charset val="129"/>
      </rPr>
      <t xml:space="preserve"> Phase 4. 프론트엔드</t>
    </r>
    <r>
      <rPr>
        <b/>
        <sz val="11"/>
        <color rgb="FF1F4E79"/>
        <rFont val="Calibri"/>
        <family val="3"/>
      </rPr>
      <t xml:space="preserve"> </t>
    </r>
    <r>
      <rPr>
        <b/>
        <sz val="11"/>
        <color rgb="FF1F4E79"/>
        <rFont val="맑은 고딕"/>
        <family val="3"/>
        <charset val="129"/>
      </rPr>
      <t>개발</t>
    </r>
    <phoneticPr fontId="30" type="noConversion"/>
  </si>
  <si>
    <t>공통 UI 컴포넌트 및 반응형 레이아웃 퍼블리싱</t>
    <phoneticPr fontId="30" type="noConversion"/>
  </si>
  <si>
    <t>카메라 연동, 이미지 업로드 및 로딩 화면 구현</t>
    <phoneticPr fontId="30" type="noConversion"/>
  </si>
  <si>
    <t>백엔드 API(진단, 추천, 크롤링) 연동 및 상태 관리</t>
    <phoneticPr fontId="30" type="noConversion"/>
  </si>
  <si>
    <t>프론트-백엔드-AI 통합 및 시스템 결합 테스트</t>
    <phoneticPr fontId="30" type="noConversion"/>
  </si>
  <si>
    <t>성능 테스트 (진단 7초, 크롤링 5초 이내 응답 검증)</t>
    <phoneticPr fontId="30" type="noConversion"/>
  </si>
  <si>
    <t>보안 점검 (안면 이미지 즉시 폐기 및 예외 처리 확인)</t>
    <phoneticPr fontId="30" type="noConversion"/>
  </si>
  <si>
    <r>
      <rPr>
        <sz val="11"/>
        <color theme="1"/>
        <rFont val="맑은 고딕"/>
        <family val="3"/>
        <charset val="129"/>
      </rPr>
      <t>실서버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배포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HTTPS/</t>
    </r>
    <r>
      <rPr>
        <sz val="11"/>
        <color theme="1"/>
        <rFont val="맑은 고딕"/>
        <family val="3"/>
        <charset val="129"/>
      </rPr>
      <t>도메인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적용</t>
    </r>
    <phoneticPr fontId="30" type="noConversion"/>
  </si>
  <si>
    <t xml:space="preserve">최종 산출물 정리 </t>
    <phoneticPr fontId="30" type="noConversion"/>
  </si>
  <si>
    <t>포트폴리오 문서화</t>
    <phoneticPr fontId="30" type="noConversion"/>
  </si>
  <si>
    <t xml:space="preserve">발표자료 준비 </t>
    <phoneticPr fontId="30" type="noConversion"/>
  </si>
  <si>
    <t>시스템 아키텍처 및 DB(ERD) 설계</t>
    <phoneticPr fontId="30" type="noConversion"/>
  </si>
  <si>
    <t>김수진</t>
    <phoneticPr fontId="30" type="noConversion"/>
  </si>
  <si>
    <t>공통</t>
    <phoneticPr fontId="30" type="noConversion"/>
  </si>
  <si>
    <t>Day
15</t>
    <phoneticPr fontId="30" type="noConversion"/>
  </si>
  <si>
    <t>Day
16</t>
    <phoneticPr fontId="30" type="noConversion"/>
  </si>
  <si>
    <t>Day
17</t>
  </si>
  <si>
    <t>Day
18</t>
  </si>
  <si>
    <t>Day
19</t>
  </si>
  <si>
    <t>Day
20</t>
  </si>
  <si>
    <t>Day
21</t>
  </si>
  <si>
    <t>Day
22</t>
  </si>
  <si>
    <t>Day
23</t>
  </si>
  <si>
    <t>Day
24</t>
  </si>
  <si>
    <t>Day
25</t>
  </si>
  <si>
    <t>Day
26</t>
  </si>
  <si>
    <t>Day
27</t>
  </si>
  <si>
    <t>Day
28</t>
  </si>
  <si>
    <t>Day
29</t>
  </si>
  <si>
    <t>Day
30</t>
  </si>
  <si>
    <t>Day
31</t>
  </si>
  <si>
    <t>Day
32</t>
  </si>
  <si>
    <t>Day
33</t>
  </si>
  <si>
    <t>Day
34</t>
  </si>
  <si>
    <t>Day
35</t>
  </si>
  <si>
    <t>Day
36</t>
  </si>
  <si>
    <t>Day
37</t>
  </si>
  <si>
    <t>Day
38</t>
  </si>
  <si>
    <t>Day
39</t>
  </si>
  <si>
    <t>Day
40</t>
  </si>
  <si>
    <t>Day
41</t>
  </si>
  <si>
    <t>Day
42</t>
  </si>
  <si>
    <t>Day
43</t>
  </si>
  <si>
    <t>Day
44</t>
  </si>
  <si>
    <t>Day
45</t>
  </si>
  <si>
    <t>Day
46</t>
  </si>
  <si>
    <t>Week 3</t>
    <phoneticPr fontId="30" type="noConversion"/>
  </si>
  <si>
    <t>Week 4</t>
    <phoneticPr fontId="30" type="noConversion"/>
  </si>
  <si>
    <t>Week 5</t>
    <phoneticPr fontId="30" type="noConversion"/>
  </si>
  <si>
    <t>Week 6</t>
  </si>
  <si>
    <t>Week 7</t>
    <phoneticPr fontId="30" type="noConversion"/>
  </si>
  <si>
    <t>Lumière (뤼미에르)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</si>
</sst>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/d"/>
    <numFmt numFmtId="178" formatCode="mm\-dd"/>
    <numFmt numFmtId="184" formatCode="0.0"/>
  </numFmts>
  <fonts count="37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3"/>
      <charset val="129"/>
    </font>
    <font>
      <b/>
      <sz val="11"/>
      <color rgb="FF1F4E79"/>
      <name val="맑은 고딕"/>
      <family val="2"/>
      <charset val="129"/>
    </font>
    <font>
      <b/>
      <sz val="11"/>
      <color rgb="FF1F4E79"/>
      <name val="Segoe UI Symbol"/>
      <family val="2"/>
    </font>
    <font>
      <b/>
      <sz val="11"/>
      <color rgb="FF1F4E79"/>
      <name val="Calibri"/>
      <family val="3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7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right" vertical="center"/>
    </xf>
    <xf numFmtId="0" fontId="26" fillId="0" borderId="0" xfId="0" applyFont="1"/>
    <xf numFmtId="176" fontId="17" fillId="0" borderId="0" xfId="0" applyNumberFormat="1" applyFont="1" applyAlignment="1">
      <alignment horizontal="left" vertical="center"/>
    </xf>
    <xf numFmtId="176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14" fontId="16" fillId="0" borderId="0" xfId="0" applyNumberFormat="1" applyFont="1" applyAlignment="1">
      <alignment vertical="center"/>
    </xf>
    <xf numFmtId="0" fontId="33" fillId="0" borderId="0" xfId="0" applyFont="1"/>
    <xf numFmtId="0" fontId="34" fillId="7" borderId="1" xfId="0" applyFont="1" applyFill="1" applyBorder="1" applyAlignment="1">
      <alignment horizontal="left" vertical="center" indent="1"/>
    </xf>
    <xf numFmtId="184" fontId="17" fillId="7" borderId="1" xfId="0" applyNumberFormat="1" applyFont="1" applyFill="1" applyBorder="1" applyAlignment="1">
      <alignment horizontal="center" vertical="center"/>
    </xf>
    <xf numFmtId="184" fontId="17" fillId="13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0" fillId="14" borderId="0" xfId="0" applyFill="1"/>
    <xf numFmtId="0" fontId="20" fillId="6" borderId="2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vertical="center" wrapText="1"/>
    </xf>
    <xf numFmtId="0" fontId="20" fillId="6" borderId="4" xfId="0" applyFont="1" applyFill="1" applyBorder="1" applyAlignment="1">
      <alignment vertical="center" wrapText="1"/>
    </xf>
    <xf numFmtId="0" fontId="20" fillId="6" borderId="3" xfId="0" applyFont="1" applyFill="1" applyBorder="1" applyAlignment="1">
      <alignment vertical="center" wrapText="1"/>
    </xf>
  </cellXfs>
  <cellStyles count="1">
    <cellStyle name="표준" xfId="0" builtinId="0"/>
  </cellStyles>
  <dxfs count="115"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topLeftCell="A13" zoomScaleNormal="100" workbookViewId="0">
      <selection activeCell="C12" sqref="C12"/>
    </sheetView>
  </sheetViews>
  <sheetFormatPr defaultColWidth="8.44140625" defaultRowHeight="14.4"/>
  <cols>
    <col min="1" max="1" width="3" customWidth="1"/>
    <col min="2" max="2" width="22" customWidth="1"/>
    <col min="3" max="3" width="80" customWidth="1"/>
  </cols>
  <sheetData>
    <row r="2" spans="2:3" ht="36" customHeight="1">
      <c r="B2" s="29" t="s">
        <v>0</v>
      </c>
      <c r="C2" s="29"/>
    </row>
    <row r="3" spans="2:3" ht="17.399999999999999">
      <c r="B3" s="30" t="s">
        <v>165</v>
      </c>
      <c r="C3" s="30"/>
    </row>
    <row r="5" spans="2:3" ht="24" customHeight="1">
      <c r="B5" s="28" t="s">
        <v>1</v>
      </c>
      <c r="C5" s="28"/>
    </row>
    <row r="6" spans="2:3" ht="19.5" customHeight="1">
      <c r="B6" s="2"/>
      <c r="C6" s="3" t="s">
        <v>2</v>
      </c>
    </row>
    <row r="7" spans="2:3" ht="19.5" customHeight="1">
      <c r="B7" s="2"/>
      <c r="C7" s="4" t="s">
        <v>3</v>
      </c>
    </row>
    <row r="8" spans="2:3" ht="19.5" customHeight="1">
      <c r="B8" s="2"/>
      <c r="C8" s="4" t="s">
        <v>4</v>
      </c>
    </row>
    <row r="10" spans="2:3" ht="24" customHeight="1">
      <c r="B10" s="28" t="s">
        <v>5</v>
      </c>
      <c r="C10" s="28"/>
    </row>
    <row r="11" spans="2:3" ht="19.5" customHeight="1">
      <c r="B11" s="2" t="s">
        <v>6</v>
      </c>
      <c r="C11" s="3" t="s">
        <v>7</v>
      </c>
    </row>
    <row r="12" spans="2:3" ht="19.5" customHeight="1">
      <c r="B12" s="2" t="s">
        <v>8</v>
      </c>
      <c r="C12" s="4" t="s">
        <v>9</v>
      </c>
    </row>
    <row r="13" spans="2:3" ht="19.5" customHeight="1">
      <c r="B13" s="2" t="s">
        <v>10</v>
      </c>
      <c r="C13" s="4" t="s">
        <v>11</v>
      </c>
    </row>
    <row r="14" spans="2:3" ht="19.5" customHeight="1">
      <c r="B14" s="2" t="s">
        <v>12</v>
      </c>
      <c r="C14" s="3" t="s">
        <v>13</v>
      </c>
    </row>
    <row r="15" spans="2:3" ht="19.5" customHeight="1">
      <c r="B15" s="2" t="s">
        <v>14</v>
      </c>
      <c r="C15" s="4" t="s">
        <v>15</v>
      </c>
    </row>
    <row r="16" spans="2:3" ht="19.5" customHeight="1">
      <c r="B16" s="2" t="s">
        <v>16</v>
      </c>
      <c r="C16" s="4" t="s">
        <v>17</v>
      </c>
    </row>
    <row r="17" spans="2:3" ht="19.5" customHeight="1">
      <c r="B17" s="2" t="s">
        <v>18</v>
      </c>
      <c r="C17" s="3" t="s">
        <v>19</v>
      </c>
    </row>
    <row r="19" spans="2:3" ht="24" customHeight="1">
      <c r="B19" s="28" t="s">
        <v>20</v>
      </c>
      <c r="C19" s="28"/>
    </row>
    <row r="20" spans="2:3" ht="19.5" customHeight="1">
      <c r="B20" s="2" t="s">
        <v>21</v>
      </c>
      <c r="C20" s="4" t="s">
        <v>22</v>
      </c>
    </row>
    <row r="21" spans="2:3" ht="19.5" customHeight="1">
      <c r="B21" s="5" t="s">
        <v>23</v>
      </c>
      <c r="C21" s="4" t="s">
        <v>24</v>
      </c>
    </row>
    <row r="22" spans="2:3" ht="19.5" customHeight="1">
      <c r="B22" s="5" t="s">
        <v>25</v>
      </c>
      <c r="C22" s="4" t="s">
        <v>26</v>
      </c>
    </row>
    <row r="23" spans="2:3" ht="19.5" customHeight="1">
      <c r="B23" s="5" t="s">
        <v>27</v>
      </c>
      <c r="C23" s="3" t="s">
        <v>28</v>
      </c>
    </row>
    <row r="24" spans="2:3" ht="19.5" customHeight="1">
      <c r="B24" s="5" t="s">
        <v>29</v>
      </c>
      <c r="C24" s="4" t="s">
        <v>30</v>
      </c>
    </row>
    <row r="25" spans="2:3" ht="19.5" customHeight="1">
      <c r="B25" s="5" t="s">
        <v>31</v>
      </c>
      <c r="C25" s="3" t="s">
        <v>32</v>
      </c>
    </row>
    <row r="26" spans="2:3" ht="19.5" customHeight="1">
      <c r="B26" s="5" t="s">
        <v>33</v>
      </c>
      <c r="C26" s="4" t="s">
        <v>34</v>
      </c>
    </row>
    <row r="27" spans="2:3" ht="19.5" customHeight="1">
      <c r="B27" s="5" t="s">
        <v>35</v>
      </c>
      <c r="C27" s="4" t="s">
        <v>36</v>
      </c>
    </row>
    <row r="29" spans="2:3" ht="24" customHeight="1">
      <c r="B29" s="28" t="s">
        <v>37</v>
      </c>
      <c r="C29" s="28"/>
    </row>
    <row r="30" spans="2:3" ht="19.5" customHeight="1">
      <c r="B30" s="5" t="s">
        <v>38</v>
      </c>
      <c r="C30" s="4" t="s">
        <v>39</v>
      </c>
    </row>
    <row r="31" spans="2:3" ht="19.5" customHeight="1">
      <c r="B31" s="5" t="s">
        <v>40</v>
      </c>
      <c r="C31" s="4" t="s">
        <v>41</v>
      </c>
    </row>
    <row r="32" spans="2:3" ht="19.5" customHeight="1">
      <c r="B32" s="5" t="s">
        <v>42</v>
      </c>
      <c r="C32" s="4" t="s">
        <v>43</v>
      </c>
    </row>
    <row r="33" spans="2:3" ht="19.5" customHeight="1">
      <c r="B33" s="5" t="s">
        <v>44</v>
      </c>
      <c r="C33" s="4" t="s">
        <v>45</v>
      </c>
    </row>
    <row r="34" spans="2:3" ht="19.5" customHeight="1">
      <c r="B34" s="5" t="s">
        <v>46</v>
      </c>
      <c r="C34" s="4" t="s">
        <v>47</v>
      </c>
    </row>
    <row r="36" spans="2:3" ht="24" customHeight="1">
      <c r="B36" s="28" t="s">
        <v>48</v>
      </c>
      <c r="C36" s="28"/>
    </row>
    <row r="37" spans="2:3" ht="19.5" customHeight="1">
      <c r="B37" s="2" t="s">
        <v>49</v>
      </c>
      <c r="C37" s="3" t="s">
        <v>50</v>
      </c>
    </row>
    <row r="38" spans="2:3" ht="19.5" customHeight="1">
      <c r="B38" s="2" t="s">
        <v>49</v>
      </c>
      <c r="C38" s="4" t="s">
        <v>51</v>
      </c>
    </row>
    <row r="39" spans="2:3" ht="19.5" customHeight="1">
      <c r="B39" s="2" t="s">
        <v>49</v>
      </c>
      <c r="C39" s="4" t="s">
        <v>52</v>
      </c>
    </row>
    <row r="40" spans="2:3" ht="19.5" customHeight="1">
      <c r="B40" s="2" t="s">
        <v>53</v>
      </c>
      <c r="C40" s="4" t="s">
        <v>54</v>
      </c>
    </row>
    <row r="41" spans="2:3" ht="19.5" customHeight="1">
      <c r="B41" s="2" t="s">
        <v>53</v>
      </c>
      <c r="C41" s="4" t="s">
        <v>55</v>
      </c>
    </row>
    <row r="42" spans="2:3" ht="19.5" customHeight="1">
      <c r="B42" s="2" t="s">
        <v>53</v>
      </c>
      <c r="C42" s="4" t="s">
        <v>56</v>
      </c>
    </row>
    <row r="44" spans="2:3" ht="24" customHeight="1">
      <c r="B44" s="28" t="s">
        <v>57</v>
      </c>
      <c r="C44" s="28"/>
    </row>
    <row r="45" spans="2:3" ht="19.5" customHeight="1">
      <c r="B45" s="2" t="s">
        <v>58</v>
      </c>
      <c r="C45" s="4" t="s">
        <v>59</v>
      </c>
    </row>
    <row r="46" spans="2:3" ht="19.5" customHeight="1">
      <c r="B46" s="2" t="s">
        <v>58</v>
      </c>
      <c r="C46" s="4" t="s">
        <v>60</v>
      </c>
    </row>
    <row r="47" spans="2:3" ht="19.5" customHeight="1">
      <c r="B47" s="2" t="s">
        <v>58</v>
      </c>
      <c r="C47" s="3" t="s">
        <v>61</v>
      </c>
    </row>
    <row r="48" spans="2:3" ht="19.5" customHeight="1">
      <c r="B48" s="2" t="s">
        <v>58</v>
      </c>
      <c r="C48" s="3" t="s">
        <v>62</v>
      </c>
    </row>
    <row r="49" spans="2:3" ht="19.5" customHeight="1">
      <c r="B49" s="2" t="s">
        <v>58</v>
      </c>
      <c r="C49" s="3" t="s">
        <v>63</v>
      </c>
    </row>
    <row r="52" spans="2:3" ht="49.5" customHeight="1">
      <c r="B52" s="6" t="s">
        <v>64</v>
      </c>
      <c r="C52" s="7" t="s">
        <v>65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30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43"/>
  <sheetViews>
    <sheetView showGridLines="0" tabSelected="1" zoomScaleNormal="100" workbookViewId="0">
      <pane xSplit="9" ySplit="9" topLeftCell="J19" activePane="bottomRight" state="frozen"/>
      <selection pane="topRight" activeCell="J1" sqref="J1"/>
      <selection pane="bottomLeft" activeCell="A10" sqref="A10"/>
      <selection pane="bottomRight" activeCell="B4" sqref="B4:F4"/>
    </sheetView>
  </sheetViews>
  <sheetFormatPr defaultColWidth="8.44140625" defaultRowHeight="14.4"/>
  <cols>
    <col min="1" max="1" width="13.109375" customWidth="1"/>
    <col min="2" max="2" width="51.109375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4140625" customWidth="1"/>
  </cols>
  <sheetData>
    <row r="1" spans="1:58" ht="31.5" customHeight="1">
      <c r="A1" s="39" t="s">
        <v>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58" ht="17.399999999999999">
      <c r="A3" s="8" t="s">
        <v>67</v>
      </c>
      <c r="B3" s="40" t="s">
        <v>166</v>
      </c>
      <c r="C3" s="40"/>
      <c r="D3" s="40"/>
      <c r="E3" s="40"/>
      <c r="F3" s="40"/>
      <c r="G3" s="8" t="s">
        <v>68</v>
      </c>
      <c r="H3" s="40" t="s">
        <v>167</v>
      </c>
      <c r="I3" s="40"/>
    </row>
    <row r="4" spans="1:58" ht="17.399999999999999">
      <c r="A4" s="8" t="s">
        <v>69</v>
      </c>
      <c r="B4" s="40" t="s">
        <v>229</v>
      </c>
      <c r="C4" s="40"/>
      <c r="D4" s="40"/>
      <c r="E4" s="40"/>
      <c r="F4" s="40"/>
      <c r="G4" s="8" t="s">
        <v>70</v>
      </c>
      <c r="H4" s="43">
        <v>46150</v>
      </c>
      <c r="I4" s="40"/>
    </row>
    <row r="5" spans="1:58" ht="17.399999999999999">
      <c r="A5" s="9" t="s">
        <v>71</v>
      </c>
      <c r="B5" s="35">
        <v>46150.080000000002</v>
      </c>
      <c r="C5" s="35"/>
      <c r="D5" s="9" t="s">
        <v>72</v>
      </c>
      <c r="E5" s="35">
        <v>46195.08</v>
      </c>
      <c r="F5" s="35"/>
      <c r="G5" s="8" t="s">
        <v>73</v>
      </c>
      <c r="H5" s="36">
        <f ca="1">TODAY()</f>
        <v>46150</v>
      </c>
      <c r="I5" s="36"/>
    </row>
    <row r="7" spans="1:58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75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  <c r="X7" s="32" t="s">
        <v>224</v>
      </c>
      <c r="Y7" s="32"/>
      <c r="Z7" s="32"/>
      <c r="AA7" s="32"/>
      <c r="AB7" s="32"/>
      <c r="AC7" s="32"/>
      <c r="AD7" s="32"/>
      <c r="AE7" s="32" t="s">
        <v>225</v>
      </c>
      <c r="AF7" s="32"/>
      <c r="AG7" s="32"/>
      <c r="AH7" s="32"/>
      <c r="AI7" s="32"/>
      <c r="AJ7" s="32"/>
      <c r="AK7" s="32"/>
      <c r="AL7" s="53"/>
      <c r="AM7" s="54"/>
      <c r="AN7" s="54"/>
      <c r="AO7" s="54" t="s">
        <v>226</v>
      </c>
      <c r="AP7" s="54"/>
      <c r="AQ7" s="54"/>
      <c r="AR7" s="55"/>
      <c r="AS7" s="50"/>
      <c r="AT7" s="51"/>
      <c r="AU7" s="51"/>
      <c r="AV7" s="51" t="s">
        <v>227</v>
      </c>
      <c r="AW7" s="51"/>
      <c r="AX7" s="51"/>
      <c r="AY7" s="52"/>
      <c r="AZ7" s="50"/>
      <c r="BA7" s="51"/>
      <c r="BB7" s="51"/>
      <c r="BC7" s="51" t="s">
        <v>228</v>
      </c>
      <c r="BD7" s="51"/>
      <c r="BE7" s="51"/>
      <c r="BF7" s="52"/>
    </row>
    <row r="8" spans="1:58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  <c r="X8" s="11" t="s">
        <v>192</v>
      </c>
      <c r="Y8" s="11" t="s">
        <v>193</v>
      </c>
      <c r="Z8" s="11" t="s">
        <v>194</v>
      </c>
      <c r="AA8" s="11" t="s">
        <v>195</v>
      </c>
      <c r="AB8" s="11" t="s">
        <v>196</v>
      </c>
      <c r="AC8" s="11" t="s">
        <v>197</v>
      </c>
      <c r="AD8" s="11" t="s">
        <v>198</v>
      </c>
      <c r="AE8" s="11" t="s">
        <v>199</v>
      </c>
      <c r="AF8" s="11" t="s">
        <v>200</v>
      </c>
      <c r="AG8" s="11" t="s">
        <v>201</v>
      </c>
      <c r="AH8" s="11" t="s">
        <v>202</v>
      </c>
      <c r="AI8" s="11" t="s">
        <v>203</v>
      </c>
      <c r="AJ8" s="11" t="s">
        <v>204</v>
      </c>
      <c r="AK8" s="11" t="s">
        <v>205</v>
      </c>
      <c r="AL8" s="11" t="s">
        <v>206</v>
      </c>
      <c r="AM8" s="11" t="s">
        <v>207</v>
      </c>
      <c r="AN8" s="11" t="s">
        <v>208</v>
      </c>
      <c r="AO8" s="11" t="s">
        <v>209</v>
      </c>
      <c r="AP8" s="11" t="s">
        <v>210</v>
      </c>
      <c r="AQ8" s="11" t="s">
        <v>211</v>
      </c>
      <c r="AR8" s="11" t="s">
        <v>212</v>
      </c>
      <c r="AS8" s="11" t="s">
        <v>213</v>
      </c>
      <c r="AT8" s="11" t="s">
        <v>214</v>
      </c>
      <c r="AU8" s="11" t="s">
        <v>215</v>
      </c>
      <c r="AV8" s="11" t="s">
        <v>216</v>
      </c>
      <c r="AW8" s="11" t="s">
        <v>217</v>
      </c>
      <c r="AX8" s="11" t="s">
        <v>218</v>
      </c>
      <c r="AY8" s="11" t="s">
        <v>219</v>
      </c>
      <c r="AZ8" s="11" t="s">
        <v>220</v>
      </c>
      <c r="BA8" s="11" t="s">
        <v>221</v>
      </c>
      <c r="BB8" s="11" t="s">
        <v>222</v>
      </c>
      <c r="BC8" s="11" t="s">
        <v>223</v>
      </c>
    </row>
    <row r="9" spans="1:58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>
        <f>IF($B$5="","",$B$5+0)</f>
        <v>46150.080000000002</v>
      </c>
      <c r="K9" s="12">
        <f>IF($B$5="","",$B$5+1)</f>
        <v>46151.08</v>
      </c>
      <c r="L9" s="12">
        <f>IF($B$5="","",$B$5+2)</f>
        <v>46152.08</v>
      </c>
      <c r="M9" s="12">
        <f>IF($B$5="","",$B$5+3)</f>
        <v>46153.08</v>
      </c>
      <c r="N9" s="12">
        <f>IF($B$5="","",$B$5+4)</f>
        <v>46154.080000000002</v>
      </c>
      <c r="O9" s="12">
        <f>IF($B$5="","",$B$5+5)</f>
        <v>46155.08</v>
      </c>
      <c r="P9" s="12">
        <f>IF($B$5="","",$B$5+6)</f>
        <v>46156.08</v>
      </c>
      <c r="Q9" s="12">
        <f>IF($B$5="","",$B$5+7)</f>
        <v>46157.08</v>
      </c>
      <c r="R9" s="12">
        <f>IF($B$5="","",$B$5+8)</f>
        <v>46158.080000000002</v>
      </c>
      <c r="S9" s="12">
        <f>IF($B$5="","",$B$5+9)</f>
        <v>46159.08</v>
      </c>
      <c r="T9" s="12">
        <f>IF($B$5="","",$B$5+10)</f>
        <v>46160.08</v>
      </c>
      <c r="U9" s="12">
        <f>IF($B$5="","",$B$5+11)</f>
        <v>46161.08</v>
      </c>
      <c r="V9" s="12">
        <f>IF($B$5="","",$B$5+12)</f>
        <v>46162.080000000002</v>
      </c>
      <c r="W9" s="12">
        <f>IF($B$5="","",$B$5+COLUMN()-10)</f>
        <v>46163.08</v>
      </c>
      <c r="X9" s="12">
        <f t="shared" ref="X9:BC9" si="0">IF($B$5="","",$B$5+COLUMN()-10)</f>
        <v>46164.08</v>
      </c>
      <c r="Y9" s="12">
        <f t="shared" si="0"/>
        <v>46165.08</v>
      </c>
      <c r="Z9" s="12">
        <f t="shared" si="0"/>
        <v>46166.080000000002</v>
      </c>
      <c r="AA9" s="12">
        <f t="shared" si="0"/>
        <v>46167.08</v>
      </c>
      <c r="AB9" s="12">
        <f t="shared" si="0"/>
        <v>46168.08</v>
      </c>
      <c r="AC9" s="12">
        <f t="shared" si="0"/>
        <v>46169.08</v>
      </c>
      <c r="AD9" s="12">
        <f t="shared" si="0"/>
        <v>46170.080000000002</v>
      </c>
      <c r="AE9" s="12">
        <f t="shared" si="0"/>
        <v>46171.08</v>
      </c>
      <c r="AF9" s="12">
        <f t="shared" si="0"/>
        <v>46172.08</v>
      </c>
      <c r="AG9" s="12">
        <f>IF($B$5="","",$B$5+COLUMN()-10)</f>
        <v>46173.08</v>
      </c>
      <c r="AH9" s="12">
        <f t="shared" si="0"/>
        <v>46174.080000000002</v>
      </c>
      <c r="AI9" s="12">
        <f t="shared" si="0"/>
        <v>46175.08</v>
      </c>
      <c r="AJ9" s="12">
        <f t="shared" si="0"/>
        <v>46176.08</v>
      </c>
      <c r="AK9" s="12">
        <f t="shared" si="0"/>
        <v>46177.08</v>
      </c>
      <c r="AL9" s="12">
        <f t="shared" si="0"/>
        <v>46178.080000000002</v>
      </c>
      <c r="AM9" s="12">
        <f t="shared" si="0"/>
        <v>46179.08</v>
      </c>
      <c r="AN9" s="12">
        <f t="shared" si="0"/>
        <v>46180.08</v>
      </c>
      <c r="AO9" s="12">
        <f>IF($B$5="","",$B$5+COLUMN()-10)</f>
        <v>46181.08</v>
      </c>
      <c r="AP9" s="12">
        <f t="shared" si="0"/>
        <v>46182.080000000002</v>
      </c>
      <c r="AQ9" s="12">
        <f t="shared" si="0"/>
        <v>46183.08</v>
      </c>
      <c r="AR9" s="12">
        <f t="shared" si="0"/>
        <v>46184.08</v>
      </c>
      <c r="AS9" s="12">
        <f t="shared" si="0"/>
        <v>46185.08</v>
      </c>
      <c r="AT9" s="12">
        <f t="shared" si="0"/>
        <v>46186.080000000002</v>
      </c>
      <c r="AU9" s="12">
        <f t="shared" si="0"/>
        <v>46187.08</v>
      </c>
      <c r="AV9" s="12">
        <f t="shared" si="0"/>
        <v>46188.08</v>
      </c>
      <c r="AW9" s="12">
        <f>IF($B$5="","",$B$5+COLUMN()-10)</f>
        <v>46189.08</v>
      </c>
      <c r="AX9" s="12">
        <f t="shared" si="0"/>
        <v>46190.080000000002</v>
      </c>
      <c r="AY9" s="12">
        <f>E5</f>
        <v>46195.08</v>
      </c>
      <c r="AZ9" s="12">
        <f t="shared" si="0"/>
        <v>46192.08</v>
      </c>
      <c r="BA9" s="12">
        <f t="shared" si="0"/>
        <v>46193.08</v>
      </c>
      <c r="BB9" s="12">
        <f t="shared" si="0"/>
        <v>46194.080000000002</v>
      </c>
      <c r="BC9" s="12">
        <f t="shared" si="0"/>
        <v>46195.08</v>
      </c>
    </row>
    <row r="10" spans="1:58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:58" ht="21.75" customHeight="1">
      <c r="A11" s="16"/>
      <c r="B11" s="17" t="s">
        <v>168</v>
      </c>
      <c r="C11" s="16" t="s">
        <v>167</v>
      </c>
      <c r="D11" s="26">
        <f>$B$5+0</f>
        <v>46150.080000000002</v>
      </c>
      <c r="E11" s="26">
        <f>$B$5</f>
        <v>46150.080000000002</v>
      </c>
      <c r="F11" s="27">
        <f>IF(AND(D11&lt;&gt;"",E11&lt;&gt;""),E11-D11+1,"")</f>
        <v>1</v>
      </c>
      <c r="G11" s="18">
        <v>1</v>
      </c>
      <c r="H11" s="25" t="s">
        <v>114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</row>
    <row r="12" spans="1:58" ht="21.75" customHeight="1">
      <c r="A12" s="16"/>
      <c r="B12" s="17" t="s">
        <v>169</v>
      </c>
      <c r="C12" s="16" t="s">
        <v>190</v>
      </c>
      <c r="D12" s="26">
        <f>$B$5+0</f>
        <v>46150.080000000002</v>
      </c>
      <c r="E12" s="26">
        <f>$B$5+1</f>
        <v>46151.08</v>
      </c>
      <c r="F12" s="27">
        <f>IF(AND(D12&lt;&gt;"",E12&lt;&gt;""),E12-D12+1,"")</f>
        <v>2</v>
      </c>
      <c r="G12" s="18">
        <v>0.8</v>
      </c>
      <c r="H12" s="20" t="s">
        <v>108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</row>
    <row r="13" spans="1:58" ht="21.75" customHeight="1">
      <c r="A13" s="16"/>
      <c r="B13" s="17" t="s">
        <v>189</v>
      </c>
      <c r="C13" s="16" t="s">
        <v>167</v>
      </c>
      <c r="D13" s="26">
        <f>$B$5+0</f>
        <v>46150.080000000002</v>
      </c>
      <c r="E13" s="26">
        <f>$B$5+2</f>
        <v>46152.08</v>
      </c>
      <c r="F13" s="27">
        <f>IF(AND(D13&lt;&gt;"",E13&lt;&gt;""),E13-D13+1,"")</f>
        <v>3</v>
      </c>
      <c r="G13" s="18">
        <v>0.5</v>
      </c>
      <c r="H13" s="20" t="s">
        <v>108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</row>
    <row r="14" spans="1:58" ht="21.75" customHeight="1">
      <c r="A14" s="13" t="s">
        <v>98</v>
      </c>
      <c r="B14" s="45" t="s">
        <v>170</v>
      </c>
      <c r="C14" s="13"/>
      <c r="D14" s="13"/>
      <c r="E14" s="13"/>
      <c r="F14" s="13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</row>
    <row r="15" spans="1:58" ht="21.75" customHeight="1">
      <c r="A15" s="16"/>
      <c r="B15" s="17" t="s">
        <v>172</v>
      </c>
      <c r="C15" s="16" t="s">
        <v>190</v>
      </c>
      <c r="D15" s="26">
        <f>$B$5+3</f>
        <v>46153.08</v>
      </c>
      <c r="E15" s="26">
        <f>$B$5+5</f>
        <v>46155.08</v>
      </c>
      <c r="F15" s="27">
        <f>IF(AND(D15&lt;&gt;"",E15&lt;&gt;""),E15-D15+1,"")</f>
        <v>3</v>
      </c>
      <c r="G15" s="18">
        <v>0</v>
      </c>
      <c r="H15" s="19" t="s">
        <v>107</v>
      </c>
      <c r="I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</row>
    <row r="16" spans="1:58" ht="21.75" customHeight="1">
      <c r="A16" s="16"/>
      <c r="B16" s="17" t="s">
        <v>171</v>
      </c>
      <c r="C16" s="16" t="s">
        <v>167</v>
      </c>
      <c r="D16" s="26">
        <f>$B$5+6</f>
        <v>46156.08</v>
      </c>
      <c r="E16" s="26">
        <f>$B$5+7</f>
        <v>46157.08</v>
      </c>
      <c r="F16" s="27">
        <f t="shared" ref="F16:F17" si="1">IF(AND(D16&lt;&gt;"",E16&lt;&gt;""),E16-D16+1,"")</f>
        <v>2</v>
      </c>
      <c r="G16" s="18">
        <v>0</v>
      </c>
      <c r="H16" s="19" t="s">
        <v>107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 spans="1:55" ht="21.75" customHeight="1">
      <c r="A17" s="16"/>
      <c r="B17" s="17" t="s">
        <v>173</v>
      </c>
      <c r="C17" s="16" t="s">
        <v>167</v>
      </c>
      <c r="D17" s="26">
        <f>$B$5+8</f>
        <v>46158.080000000002</v>
      </c>
      <c r="E17" s="26">
        <f>$B$5+12</f>
        <v>46162.080000000002</v>
      </c>
      <c r="F17" s="27">
        <f t="shared" si="1"/>
        <v>5</v>
      </c>
      <c r="G17" s="18">
        <v>0</v>
      </c>
      <c r="H17" s="19" t="s">
        <v>107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</row>
    <row r="18" spans="1:55" ht="21.75" customHeight="1">
      <c r="A18" s="46">
        <v>3</v>
      </c>
      <c r="B18" s="45" t="s">
        <v>175</v>
      </c>
      <c r="C18" s="13"/>
      <c r="D18" s="13"/>
      <c r="E18" s="13"/>
      <c r="F18" s="13"/>
      <c r="G18" s="1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</row>
    <row r="19" spans="1:55" ht="21.75" customHeight="1">
      <c r="A19" s="16"/>
      <c r="B19" s="17" t="s">
        <v>174</v>
      </c>
      <c r="C19" s="16" t="s">
        <v>167</v>
      </c>
      <c r="D19" s="26">
        <f>$B$5+13</f>
        <v>46163.08</v>
      </c>
      <c r="E19" s="26">
        <f>$B$5+18</f>
        <v>46168.08</v>
      </c>
      <c r="F19" s="27">
        <f>IF(AND(D19&lt;&gt;"",E19&lt;&gt;""),E19-D19+1,"")</f>
        <v>6</v>
      </c>
      <c r="G19" s="18">
        <v>0</v>
      </c>
      <c r="H19" s="19" t="s">
        <v>107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</row>
    <row r="20" spans="1:55" ht="21.75" customHeight="1">
      <c r="A20" s="16"/>
      <c r="B20" s="17" t="s">
        <v>176</v>
      </c>
      <c r="C20" s="16" t="s">
        <v>167</v>
      </c>
      <c r="D20" s="26">
        <f>$B$5+19</f>
        <v>46169.08</v>
      </c>
      <c r="E20" s="26">
        <f>$B$5+21</f>
        <v>46171.08</v>
      </c>
      <c r="F20" s="27">
        <f t="shared" ref="F20:F21" si="2">IF(AND(D20&lt;&gt;"",E20&lt;&gt;""),E20-D20+1,"")</f>
        <v>3</v>
      </c>
      <c r="G20" s="18">
        <v>0</v>
      </c>
      <c r="H20" s="19" t="s">
        <v>107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</row>
    <row r="21" spans="1:55" ht="21.75" customHeight="1">
      <c r="A21" s="16"/>
      <c r="B21" s="17" t="s">
        <v>177</v>
      </c>
      <c r="C21" s="16" t="s">
        <v>190</v>
      </c>
      <c r="D21" s="26">
        <f>$B$5+16</f>
        <v>46166.080000000002</v>
      </c>
      <c r="E21" s="26">
        <f>$B$5+25</f>
        <v>46175.08</v>
      </c>
      <c r="F21" s="27">
        <f t="shared" si="2"/>
        <v>10</v>
      </c>
      <c r="G21" s="18">
        <v>0</v>
      </c>
      <c r="H21" s="19" t="s">
        <v>107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</row>
    <row r="22" spans="1:55" ht="21.75" customHeight="1">
      <c r="A22" s="46">
        <v>4</v>
      </c>
      <c r="B22" s="45" t="s">
        <v>178</v>
      </c>
      <c r="C22" s="13"/>
      <c r="D22" s="13"/>
      <c r="E22" s="13"/>
      <c r="F22" s="13"/>
      <c r="G22" s="15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</row>
    <row r="23" spans="1:55" s="49" customFormat="1" ht="21.75" customHeight="1">
      <c r="A23" s="47"/>
      <c r="B23" s="17" t="s">
        <v>179</v>
      </c>
      <c r="C23" s="16" t="s">
        <v>190</v>
      </c>
      <c r="D23" s="26">
        <f>$B$5+21</f>
        <v>46171.08</v>
      </c>
      <c r="E23" s="26">
        <f>$B$5+26</f>
        <v>46176.08</v>
      </c>
      <c r="F23" s="27">
        <f>IF(AND(D23&lt;&gt;"",E23&lt;&gt;""),E23-D23+1,"")</f>
        <v>6</v>
      </c>
      <c r="G23" s="18">
        <v>0</v>
      </c>
      <c r="H23" s="19" t="s">
        <v>107</v>
      </c>
      <c r="I23" s="16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</row>
    <row r="24" spans="1:55" s="49" customFormat="1" ht="21.75" customHeight="1">
      <c r="A24" s="47"/>
      <c r="B24" s="17" t="s">
        <v>180</v>
      </c>
      <c r="C24" s="16" t="s">
        <v>190</v>
      </c>
      <c r="D24" s="26">
        <f>$B$5+27</f>
        <v>46177.08</v>
      </c>
      <c r="E24" s="26">
        <f>$B$5+30</f>
        <v>46180.08</v>
      </c>
      <c r="F24" s="27">
        <f t="shared" ref="F24:F25" si="3">IF(AND(D24&lt;&gt;"",E24&lt;&gt;""),E24-D24+1,"")</f>
        <v>4</v>
      </c>
      <c r="G24" s="18">
        <v>0</v>
      </c>
      <c r="H24" s="19" t="s">
        <v>107</v>
      </c>
      <c r="I24" s="16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</row>
    <row r="25" spans="1:55" ht="21.75" customHeight="1">
      <c r="A25" s="16"/>
      <c r="B25" s="17" t="s">
        <v>181</v>
      </c>
      <c r="C25" s="16" t="s">
        <v>190</v>
      </c>
      <c r="D25" s="26">
        <f>$B$5+31</f>
        <v>46181.08</v>
      </c>
      <c r="E25" s="26">
        <f>$B$5+35</f>
        <v>46185.08</v>
      </c>
      <c r="F25" s="27">
        <f t="shared" si="3"/>
        <v>5</v>
      </c>
      <c r="G25" s="18">
        <v>0</v>
      </c>
      <c r="H25" s="19" t="s">
        <v>107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</row>
    <row r="26" spans="1:55" ht="21.75" customHeight="1">
      <c r="A26" s="46">
        <v>5</v>
      </c>
      <c r="B26" s="14" t="s">
        <v>103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</row>
    <row r="27" spans="1:55" ht="21.75" customHeight="1">
      <c r="A27" s="16"/>
      <c r="B27" s="17" t="s">
        <v>182</v>
      </c>
      <c r="C27" s="16" t="s">
        <v>167</v>
      </c>
      <c r="D27" s="26">
        <f>$B$5+36</f>
        <v>46186.080000000002</v>
      </c>
      <c r="E27" s="26">
        <f>$B$5+38</f>
        <v>46188.08</v>
      </c>
      <c r="F27" s="27">
        <f>IF(AND(D27&lt;&gt;"",E27&lt;&gt;""),E27-D27+1,"")</f>
        <v>3</v>
      </c>
      <c r="G27" s="18">
        <v>0</v>
      </c>
      <c r="H27" s="19" t="s">
        <v>107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</row>
    <row r="28" spans="1:55" ht="21.75" customHeight="1">
      <c r="A28" s="16"/>
      <c r="B28" s="17" t="s">
        <v>183</v>
      </c>
      <c r="C28" s="16" t="s">
        <v>190</v>
      </c>
      <c r="D28" s="26">
        <f>$B$5+39</f>
        <v>46189.08</v>
      </c>
      <c r="E28" s="26">
        <f>$B$5+40</f>
        <v>46190.080000000002</v>
      </c>
      <c r="F28" s="27">
        <f t="shared" ref="F28:F30" si="4">IF(AND(D28&lt;&gt;"",E28&lt;&gt;""),E28-D28+1,"")</f>
        <v>2</v>
      </c>
      <c r="G28" s="18">
        <v>0</v>
      </c>
      <c r="H28" s="19" t="s">
        <v>107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</row>
    <row r="29" spans="1:55" ht="21.75" customHeight="1">
      <c r="A29" s="16"/>
      <c r="B29" s="17" t="s">
        <v>184</v>
      </c>
      <c r="C29" s="16" t="s">
        <v>167</v>
      </c>
      <c r="D29" s="26">
        <f>$B$5+40</f>
        <v>46190.080000000002</v>
      </c>
      <c r="E29" s="26">
        <f>$B$5+42</f>
        <v>46192.08</v>
      </c>
      <c r="F29" s="27">
        <f t="shared" si="4"/>
        <v>3</v>
      </c>
      <c r="G29" s="18">
        <v>0</v>
      </c>
      <c r="H29" s="19" t="s">
        <v>107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</row>
    <row r="30" spans="1:55" ht="21.75" customHeight="1">
      <c r="A30" s="16"/>
      <c r="B30" s="44" t="s">
        <v>185</v>
      </c>
      <c r="C30" s="16" t="s">
        <v>190</v>
      </c>
      <c r="D30" s="26">
        <f>$B$5+43</f>
        <v>46193.08</v>
      </c>
      <c r="E30" s="26">
        <f>$B$5+44</f>
        <v>46194.080000000002</v>
      </c>
      <c r="F30" s="27">
        <f t="shared" si="4"/>
        <v>2</v>
      </c>
      <c r="G30" s="18">
        <v>0</v>
      </c>
      <c r="H30" s="19" t="s">
        <v>107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</row>
    <row r="31" spans="1:55" ht="21.75" customHeight="1">
      <c r="A31" s="46">
        <v>6</v>
      </c>
      <c r="B31" s="14" t="s">
        <v>105</v>
      </c>
      <c r="C31" s="13"/>
      <c r="D31" s="13"/>
      <c r="E31" s="13"/>
      <c r="F31" s="13"/>
      <c r="G31" s="1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</row>
    <row r="32" spans="1:55" ht="21.75" customHeight="1">
      <c r="A32" s="16"/>
      <c r="B32" s="17" t="s">
        <v>186</v>
      </c>
      <c r="C32" s="16" t="s">
        <v>191</v>
      </c>
      <c r="D32" s="26">
        <f>$B$5+0</f>
        <v>46150.080000000002</v>
      </c>
      <c r="E32" s="26">
        <f>$B$5+1</f>
        <v>46151.08</v>
      </c>
      <c r="F32" s="27">
        <f>IF(AND(D32&lt;&gt;"",E32&lt;&gt;""),E32-D32+1,"")</f>
        <v>2</v>
      </c>
      <c r="G32" s="18">
        <v>0</v>
      </c>
      <c r="H32" s="19" t="s">
        <v>107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</row>
    <row r="33" spans="1:55" ht="21.75" customHeight="1">
      <c r="A33" s="16"/>
      <c r="B33" s="17" t="s">
        <v>187</v>
      </c>
      <c r="C33" s="16" t="s">
        <v>191</v>
      </c>
      <c r="D33" s="26">
        <f t="shared" ref="D33:D34" si="5">$B$5+0</f>
        <v>46150.080000000002</v>
      </c>
      <c r="E33" s="26">
        <f t="shared" ref="E33:E34" si="6">$B$5+1</f>
        <v>46151.08</v>
      </c>
      <c r="F33" s="27">
        <f t="shared" ref="F33:F34" si="7">IF(AND(D33&lt;&gt;"",E33&lt;&gt;""),E33-D33+1,"")</f>
        <v>2</v>
      </c>
      <c r="G33" s="18">
        <v>0</v>
      </c>
      <c r="H33" s="19" t="s">
        <v>107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</row>
    <row r="34" spans="1:55" ht="21.75" customHeight="1">
      <c r="A34" s="16"/>
      <c r="B34" s="17" t="s">
        <v>188</v>
      </c>
      <c r="C34" s="16" t="s">
        <v>191</v>
      </c>
      <c r="D34" s="26">
        <f t="shared" si="5"/>
        <v>46150.080000000002</v>
      </c>
      <c r="E34" s="26">
        <f t="shared" si="6"/>
        <v>46151.08</v>
      </c>
      <c r="F34" s="27">
        <f t="shared" si="7"/>
        <v>2</v>
      </c>
      <c r="G34" s="18">
        <v>0</v>
      </c>
      <c r="H34" s="19" t="s">
        <v>107</v>
      </c>
      <c r="I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</row>
    <row r="35" spans="1:55" ht="21.75" customHeight="1">
      <c r="A35" s="16"/>
      <c r="B35" s="17"/>
      <c r="C35" s="16"/>
      <c r="D35" s="16"/>
      <c r="E35" s="16"/>
      <c r="F35" s="16"/>
      <c r="G35" s="18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</row>
    <row r="38" spans="1:55" ht="15.6">
      <c r="A38" s="34" t="s">
        <v>106</v>
      </c>
      <c r="B38" s="34"/>
      <c r="C38" s="34"/>
      <c r="D38" s="34"/>
    </row>
    <row r="39" spans="1:55">
      <c r="A39" s="19" t="s">
        <v>107</v>
      </c>
      <c r="B39" s="31" t="s">
        <v>39</v>
      </c>
      <c r="C39" s="31"/>
      <c r="D39" s="31"/>
      <c r="E39" s="31"/>
      <c r="F39" s="31"/>
      <c r="G39" s="31"/>
      <c r="H39" s="31"/>
      <c r="I39" s="31"/>
    </row>
    <row r="40" spans="1:55" ht="15.6">
      <c r="A40" s="20" t="s">
        <v>108</v>
      </c>
      <c r="B40" s="31" t="s">
        <v>109</v>
      </c>
      <c r="C40" s="31"/>
      <c r="D40" s="31"/>
      <c r="E40" s="31"/>
      <c r="F40" s="31"/>
      <c r="G40" s="31"/>
      <c r="H40" s="31"/>
      <c r="I40" s="31"/>
    </row>
    <row r="41" spans="1:55" ht="15.6">
      <c r="A41" s="21" t="s">
        <v>110</v>
      </c>
      <c r="B41" s="31" t="s">
        <v>111</v>
      </c>
      <c r="C41" s="31"/>
      <c r="D41" s="31"/>
      <c r="E41" s="31"/>
      <c r="F41" s="31"/>
      <c r="G41" s="31"/>
      <c r="H41" s="31"/>
      <c r="I41" s="31"/>
    </row>
    <row r="42" spans="1:55" ht="15.6">
      <c r="A42" s="22" t="s">
        <v>112</v>
      </c>
      <c r="B42" s="31" t="s">
        <v>113</v>
      </c>
      <c r="C42" s="31"/>
      <c r="D42" s="31"/>
      <c r="E42" s="31"/>
      <c r="F42" s="31"/>
      <c r="G42" s="31"/>
      <c r="H42" s="31"/>
      <c r="I42" s="31"/>
    </row>
    <row r="43" spans="1:55" ht="15.6">
      <c r="A43" s="23" t="s">
        <v>114</v>
      </c>
      <c r="B43" s="31" t="s">
        <v>115</v>
      </c>
      <c r="C43" s="31"/>
      <c r="D43" s="31"/>
      <c r="E43" s="31"/>
      <c r="F43" s="31"/>
      <c r="G43" s="31"/>
      <c r="H43" s="31"/>
      <c r="I43" s="31"/>
    </row>
  </sheetData>
  <mergeCells count="20">
    <mergeCell ref="X7:AD7"/>
    <mergeCell ref="AE7:AK7"/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41:I41"/>
    <mergeCell ref="B42:I42"/>
    <mergeCell ref="B43:I43"/>
    <mergeCell ref="Q7:W7"/>
    <mergeCell ref="A9:I9"/>
    <mergeCell ref="A38:D38"/>
    <mergeCell ref="B39:I39"/>
    <mergeCell ref="B40:I40"/>
  </mergeCells>
  <phoneticPr fontId="30" type="noConversion"/>
  <conditionalFormatting sqref="G10 G26 G14 G18 G31 G35">
    <cfRule type="colorScale" priority="20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6 H10 H14 H18 H31 H35">
    <cfRule type="cellIs" dxfId="114" priority="200" operator="equal">
      <formula>"시작 전"</formula>
    </cfRule>
    <cfRule type="cellIs" dxfId="113" priority="201" operator="equal">
      <formula>"진행 중"</formula>
    </cfRule>
    <cfRule type="cellIs" dxfId="112" priority="202" operator="equal">
      <formula>"주의"</formula>
    </cfRule>
    <cfRule type="cellIs" dxfId="111" priority="203" operator="equal">
      <formula>"지연"</formula>
    </cfRule>
    <cfRule type="cellIs" dxfId="110" priority="204" operator="equal">
      <formula>"완료"</formula>
    </cfRule>
  </conditionalFormatting>
  <conditionalFormatting sqref="J9:AK9">
    <cfRule type="expression" dxfId="109" priority="212">
      <formula>J$9=TODAY()</formula>
    </cfRule>
    <cfRule type="expression" dxfId="108" priority="213">
      <formula>OR(WEEKDAY(J$9,2)=6,WEEKDAY(J$9,2)=7)</formula>
    </cfRule>
  </conditionalFormatting>
  <conditionalFormatting sqref="J10:BA10 M11:BA11 J12:BA14 J16:BA33 L15:M15 P15:BA15 L34:AY34 BB10:BC33 J35:BC35">
    <cfRule type="expression" dxfId="107" priority="206">
      <formula>AND($D10&lt;&gt;"",$E10&lt;&gt;"",J$9&gt;=$D10,J$9&lt;=$E10,$H10="완료")</formula>
    </cfRule>
    <cfRule type="expression" dxfId="106" priority="207">
      <formula>AND($D10&lt;&gt;"",$E10&lt;&gt;"",J$9&gt;=$D10,J$9&lt;=$E10,$H10="진행 중")</formula>
    </cfRule>
    <cfRule type="expression" dxfId="105" priority="208">
      <formula>AND($D10&lt;&gt;"",$E10&lt;&gt;"",J$9&gt;=$D10,J$9&lt;=$E10,$H10="주의")</formula>
    </cfRule>
    <cfRule type="expression" dxfId="104" priority="209">
      <formula>AND($D10&lt;&gt;"",$E10&lt;&gt;"",J$9&gt;=$D10,J$9&lt;=$E10,$H10="지연")</formula>
    </cfRule>
    <cfRule type="expression" dxfId="103" priority="210">
      <formula>AND($D10&lt;&gt;"",$E10&lt;&gt;"",J$9&gt;=$D10,J$9&lt;=$E10,$H10="시작 전")</formula>
    </cfRule>
    <cfRule type="expression" dxfId="102" priority="211">
      <formula>AND($D10&lt;&gt;"",$E10&lt;&gt;"",J$9&gt;=$D10,J$9&lt;=$E10)</formula>
    </cfRule>
  </conditionalFormatting>
  <conditionalFormatting sqref="AL9:AS9">
    <cfRule type="expression" dxfId="101" priority="181">
      <formula>AL$9=TODAY()</formula>
    </cfRule>
    <cfRule type="expression" dxfId="100" priority="182">
      <formula>OR(WEEKDAY(AL$9,2)=6,WEEKDAY(AL$9,2)=7)</formula>
    </cfRule>
  </conditionalFormatting>
  <conditionalFormatting sqref="AT9:BA9">
    <cfRule type="expression" dxfId="99" priority="167">
      <formula>AT$9=TODAY()</formula>
    </cfRule>
    <cfRule type="expression" dxfId="98" priority="168">
      <formula>OR(WEEKDAY(AT$9,2)=6,WEEKDAY(AT$9,2)=7)</formula>
    </cfRule>
  </conditionalFormatting>
  <conditionalFormatting sqref="G22">
    <cfRule type="colorScale" priority="14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2">
    <cfRule type="cellIs" dxfId="97" priority="143" operator="equal">
      <formula>"시작 전"</formula>
    </cfRule>
    <cfRule type="cellIs" dxfId="96" priority="144" operator="equal">
      <formula>"진행 중"</formula>
    </cfRule>
    <cfRule type="cellIs" dxfId="95" priority="145" operator="equal">
      <formula>"주의"</formula>
    </cfRule>
    <cfRule type="cellIs" dxfId="94" priority="146" operator="equal">
      <formula>"지연"</formula>
    </cfRule>
    <cfRule type="cellIs" dxfId="93" priority="147" operator="equal">
      <formula>"완료"</formula>
    </cfRule>
  </conditionalFormatting>
  <conditionalFormatting sqref="K11:L11">
    <cfRule type="expression" dxfId="92" priority="101">
      <formula>AND($D11&lt;&gt;"",$E11&lt;&gt;"",K$9&gt;=$D11,K$9&lt;=$E11,$H11="완료")</formula>
    </cfRule>
    <cfRule type="expression" dxfId="91" priority="102">
      <formula>AND($D11&lt;&gt;"",$E11&lt;&gt;"",K$9&gt;=$D11,K$9&lt;=$E11,$H11="진행 중")</formula>
    </cfRule>
    <cfRule type="expression" dxfId="90" priority="103">
      <formula>AND($D11&lt;&gt;"",$E11&lt;&gt;"",K$9&gt;=$D11,K$9&lt;=$E11,$H11="주의")</formula>
    </cfRule>
    <cfRule type="expression" dxfId="89" priority="104">
      <formula>AND($D11&lt;&gt;"",$E11&lt;&gt;"",K$9&gt;=$D11,K$9&lt;=$E11,$H11="지연")</formula>
    </cfRule>
    <cfRule type="expression" dxfId="88" priority="105">
      <formula>AND($D11&lt;&gt;"",$E11&lt;&gt;"",K$9&gt;=$D11,K$9&lt;=$E11,$H11="시작 전")</formula>
    </cfRule>
    <cfRule type="expression" dxfId="87" priority="106">
      <formula>AND($D11&lt;&gt;"",$E11&lt;&gt;"",K$9&gt;=$D11,K$9&lt;=$E11)</formula>
    </cfRule>
  </conditionalFormatting>
  <conditionalFormatting sqref="J11">
    <cfRule type="expression" dxfId="86" priority="89">
      <formula>AND($D11&lt;&gt;"",$E11&lt;&gt;"",J$9&gt;=$D11,J$9&lt;=$E11,$H11="완료")</formula>
    </cfRule>
    <cfRule type="expression" dxfId="85" priority="90">
      <formula>AND($D11&lt;&gt;"",$E11&lt;&gt;"",J$9&gt;=$D11,J$9&lt;=$E11,$H11="진행 중")</formula>
    </cfRule>
    <cfRule type="expression" dxfId="84" priority="91">
      <formula>AND($D11&lt;&gt;"",$E11&lt;&gt;"",J$9&gt;=$D11,J$9&lt;=$E11,$H11="주의")</formula>
    </cfRule>
    <cfRule type="expression" dxfId="83" priority="92">
      <formula>AND($D11&lt;&gt;"",$E11&lt;&gt;"",J$9&gt;=$D11,J$9&lt;=$E11,$H11="지연")</formula>
    </cfRule>
    <cfRule type="expression" dxfId="82" priority="93">
      <formula>AND($D11&lt;&gt;"",$E11&lt;&gt;"",J$9&gt;=$D11,J$9&lt;=$E11,$H11="시작 전")</formula>
    </cfRule>
    <cfRule type="expression" dxfId="81" priority="94">
      <formula>AND($D11&lt;&gt;"",$E11&lt;&gt;"",J$9&gt;=$D11,J$9&lt;=$E11)</formula>
    </cfRule>
  </conditionalFormatting>
  <conditionalFormatting sqref="G11">
    <cfRule type="colorScale" priority="8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1">
    <cfRule type="cellIs" dxfId="80" priority="83" operator="equal">
      <formula>"시작 전"</formula>
    </cfRule>
    <cfRule type="cellIs" dxfId="79" priority="84" operator="equal">
      <formula>"진행 중"</formula>
    </cfRule>
    <cfRule type="cellIs" dxfId="78" priority="85" operator="equal">
      <formula>"주의"</formula>
    </cfRule>
    <cfRule type="cellIs" dxfId="77" priority="86" operator="equal">
      <formula>"지연"</formula>
    </cfRule>
    <cfRule type="cellIs" dxfId="76" priority="87" operator="equal">
      <formula>"완료"</formula>
    </cfRule>
  </conditionalFormatting>
  <conditionalFormatting sqref="G12">
    <cfRule type="colorScale" priority="8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3">
    <cfRule type="colorScale" priority="7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5:G17">
    <cfRule type="colorScale" priority="7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9:G21">
    <cfRule type="colorScale" priority="6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23:G25">
    <cfRule type="colorScale" priority="5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27:G30">
    <cfRule type="colorScale" priority="5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32:G34">
    <cfRule type="colorScale" priority="4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Z34:BC34">
    <cfRule type="expression" dxfId="40" priority="220">
      <formula>AND($D34&lt;&gt;"",$E34&lt;&gt;"",J$9&gt;=$D34,J$9&lt;=$E34,$H34="완료")</formula>
    </cfRule>
    <cfRule type="expression" dxfId="39" priority="221">
      <formula>AND($D34&lt;&gt;"",$E34&lt;&gt;"",J$9&gt;=$D34,J$9&lt;=$E34,$H34="진행 중")</formula>
    </cfRule>
    <cfRule type="expression" dxfId="38" priority="222">
      <formula>AND($D34&lt;&gt;"",$E34&lt;&gt;"",J$9&gt;=$D34,J$9&lt;=$E34,$H34="주의")</formula>
    </cfRule>
    <cfRule type="expression" dxfId="37" priority="223">
      <formula>AND($D34&lt;&gt;"",$E34&lt;&gt;"",J$9&gt;=$D34,J$9&lt;=$E34,$H34="지연")</formula>
    </cfRule>
    <cfRule type="expression" dxfId="36" priority="224">
      <formula>AND($D34&lt;&gt;"",$E34&lt;&gt;"",J$9&gt;=$D34,J$9&lt;=$E34,$H34="시작 전")</formula>
    </cfRule>
    <cfRule type="expression" dxfId="35" priority="225">
      <formula>AND($D34&lt;&gt;"",$E34&lt;&gt;"",J$9&gt;=$D34,J$9&lt;=$E34)</formula>
    </cfRule>
  </conditionalFormatting>
  <conditionalFormatting sqref="BB9">
    <cfRule type="expression" dxfId="34" priority="27">
      <formula>BB$9=TODAY()</formula>
    </cfRule>
    <cfRule type="expression" dxfId="33" priority="28">
      <formula>OR(WEEKDAY(BB$9,2)=6,WEEKDAY(BB$9,2)=7)</formula>
    </cfRule>
  </conditionalFormatting>
  <conditionalFormatting sqref="BC9">
    <cfRule type="expression" dxfId="32" priority="13">
      <formula>BC$9=TODAY()</formula>
    </cfRule>
    <cfRule type="expression" dxfId="31" priority="14">
      <formula>OR(WEEKDAY(BC$9,2)=6,WEEKDAY(BC$9,2)=7)</formula>
    </cfRule>
  </conditionalFormatting>
  <conditionalFormatting sqref="N15">
    <cfRule type="expression" dxfId="11" priority="7">
      <formula>AND($D15&lt;&gt;"",$E15&lt;&gt;"",N$9&gt;=$D15,N$9&lt;=$E15,$H15="완료")</formula>
    </cfRule>
    <cfRule type="expression" dxfId="10" priority="8">
      <formula>AND($D15&lt;&gt;"",$E15&lt;&gt;"",N$9&gt;=$D15,N$9&lt;=$E15,$H15="진행 중")</formula>
    </cfRule>
    <cfRule type="expression" dxfId="9" priority="9">
      <formula>AND($D15&lt;&gt;"",$E15&lt;&gt;"",N$9&gt;=$D15,N$9&lt;=$E15,$H15="주의")</formula>
    </cfRule>
    <cfRule type="expression" dxfId="8" priority="10">
      <formula>AND($D15&lt;&gt;"",$E15&lt;&gt;"",N$9&gt;=$D15,N$9&lt;=$E15,$H15="지연")</formula>
    </cfRule>
    <cfRule type="expression" dxfId="7" priority="11">
      <formula>AND($D15&lt;&gt;"",$E15&lt;&gt;"",N$9&gt;=$D15,N$9&lt;=$E15,$H15="시작 전")</formula>
    </cfRule>
    <cfRule type="expression" dxfId="6" priority="12">
      <formula>AND($D15&lt;&gt;"",$E15&lt;&gt;"",N$9&gt;=$D15,N$9&lt;=$E15)</formula>
    </cfRule>
  </conditionalFormatting>
  <conditionalFormatting sqref="O15">
    <cfRule type="expression" dxfId="5" priority="1">
      <formula>AND($D15&lt;&gt;"",$E15&lt;&gt;"",O$9&gt;=$D15,O$9&lt;=$E15,$H15="완료")</formula>
    </cfRule>
    <cfRule type="expression" dxfId="4" priority="2">
      <formula>AND($D15&lt;&gt;"",$E15&lt;&gt;"",O$9&gt;=$D15,O$9&lt;=$E15,$H15="진행 중")</formula>
    </cfRule>
    <cfRule type="expression" dxfId="3" priority="3">
      <formula>AND($D15&lt;&gt;"",$E15&lt;&gt;"",O$9&gt;=$D15,O$9&lt;=$E15,$H15="주의")</formula>
    </cfRule>
    <cfRule type="expression" dxfId="2" priority="4">
      <formula>AND($D15&lt;&gt;"",$E15&lt;&gt;"",O$9&gt;=$D15,O$9&lt;=$E15,$H15="지연")</formula>
    </cfRule>
    <cfRule type="expression" dxfId="1" priority="5">
      <formula>AND($D15&lt;&gt;"",$E15&lt;&gt;"",O$9&gt;=$D15,O$9&lt;=$E15,$H15="시작 전")</formula>
    </cfRule>
    <cfRule type="expression" dxfId="0" priority="6">
      <formula>AND($D15&lt;&gt;"",$E15&lt;&gt;"",O$9&gt;=$D15,O$9&lt;=$E15)</formula>
    </cfRule>
  </conditionalFormatting>
  <dataValidations count="1">
    <dataValidation type="list" allowBlank="1" errorTitle="잘못된 입력" error="목록에서 선택하세요" promptTitle="상태 선택" prompt="상태를 선택하세요" sqref="H35 H31 H26 H22 H18 H10:H11 H14" xr:uid="{00000000-0002-0000-01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1"/>
  <sheetViews>
    <sheetView showGridLines="0" zoomScaleNormal="100" workbookViewId="0">
      <pane xSplit="9" ySplit="9" topLeftCell="J16" activePane="bottomRight" state="frozen"/>
      <selection pane="topRight" activeCell="J1" sqref="J1"/>
      <selection pane="bottomLeft" activeCell="A10" sqref="A10"/>
      <selection pane="bottomRight" activeCell="K11" sqref="K11"/>
    </sheetView>
  </sheetViews>
  <sheetFormatPr defaultColWidth="8.44140625" defaultRowHeight="14.4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4140625" customWidth="1"/>
  </cols>
  <sheetData>
    <row r="1" spans="1:23" ht="31.5" customHeight="1">
      <c r="A1" s="39" t="s">
        <v>116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7.399999999999999">
      <c r="A3" s="8" t="s">
        <v>67</v>
      </c>
      <c r="B3" s="40" t="s">
        <v>117</v>
      </c>
      <c r="C3" s="40"/>
      <c r="D3" s="40"/>
      <c r="E3" s="40"/>
      <c r="F3" s="40"/>
      <c r="G3" s="8" t="s">
        <v>68</v>
      </c>
      <c r="H3" s="41" t="s">
        <v>118</v>
      </c>
      <c r="I3" s="41"/>
    </row>
    <row r="4" spans="1:23" ht="17.399999999999999">
      <c r="A4" s="8" t="s">
        <v>69</v>
      </c>
      <c r="B4" s="40" t="s">
        <v>119</v>
      </c>
      <c r="C4" s="40"/>
      <c r="D4" s="40"/>
      <c r="E4" s="40"/>
      <c r="F4" s="40"/>
      <c r="G4" s="8" t="s">
        <v>70</v>
      </c>
      <c r="H4" s="42">
        <v>46153</v>
      </c>
      <c r="I4" s="42"/>
    </row>
    <row r="5" spans="1:23" ht="17.399999999999999">
      <c r="A5" s="9" t="s">
        <v>71</v>
      </c>
      <c r="B5" s="35">
        <v>46153</v>
      </c>
      <c r="C5" s="35"/>
      <c r="D5" s="9" t="s">
        <v>72</v>
      </c>
      <c r="E5" s="35">
        <f>IF(B5="","",B5+13)</f>
        <v>46166</v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75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120</v>
      </c>
      <c r="B11" s="24" t="s">
        <v>121</v>
      </c>
      <c r="C11" s="25" t="s">
        <v>118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1</v>
      </c>
      <c r="H11" s="25" t="s">
        <v>114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122</v>
      </c>
      <c r="B12" s="17" t="s">
        <v>123</v>
      </c>
      <c r="C12" s="25" t="s">
        <v>124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1</v>
      </c>
      <c r="H12" s="25" t="s">
        <v>114</v>
      </c>
      <c r="I12" s="16" t="s">
        <v>120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125</v>
      </c>
      <c r="B13" s="17" t="s">
        <v>126</v>
      </c>
      <c r="C13" s="25" t="s">
        <v>127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1</v>
      </c>
      <c r="H13" s="25" t="s">
        <v>114</v>
      </c>
      <c r="I13" s="16" t="s">
        <v>120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128</v>
      </c>
      <c r="B14" s="24" t="s">
        <v>129</v>
      </c>
      <c r="C14" s="25" t="s">
        <v>130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1</v>
      </c>
      <c r="H14" s="25" t="s">
        <v>114</v>
      </c>
      <c r="I14" s="16" t="s">
        <v>120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131</v>
      </c>
      <c r="B16" s="17" t="s">
        <v>132</v>
      </c>
      <c r="C16" s="25" t="s">
        <v>124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1</v>
      </c>
      <c r="H16" s="25" t="s">
        <v>114</v>
      </c>
      <c r="I16" s="16" t="s">
        <v>122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133</v>
      </c>
      <c r="B17" s="17" t="s">
        <v>134</v>
      </c>
      <c r="C17" s="25" t="s">
        <v>124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0.7</v>
      </c>
      <c r="H17" s="25" t="s">
        <v>108</v>
      </c>
      <c r="I17" s="16" t="s">
        <v>131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135</v>
      </c>
      <c r="B18" s="17" t="s">
        <v>136</v>
      </c>
      <c r="C18" s="25" t="s">
        <v>127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0.5</v>
      </c>
      <c r="H18" s="25" t="s">
        <v>108</v>
      </c>
      <c r="I18" s="16" t="s">
        <v>137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138</v>
      </c>
      <c r="B19" s="17" t="s">
        <v>139</v>
      </c>
      <c r="C19" s="25" t="s">
        <v>124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0.2</v>
      </c>
      <c r="H19" s="25" t="s">
        <v>110</v>
      </c>
      <c r="I19" s="16" t="s">
        <v>140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6" t="s">
        <v>141</v>
      </c>
      <c r="B20" s="24" t="s">
        <v>142</v>
      </c>
      <c r="C20" s="25" t="s">
        <v>127</v>
      </c>
      <c r="D20" s="26">
        <f>$B$5+7</f>
        <v>46160</v>
      </c>
      <c r="E20" s="26">
        <f>$B$5+8</f>
        <v>46161</v>
      </c>
      <c r="F20" s="27">
        <f>IF(AND(D20&lt;&gt;"",E20&lt;&gt;""),E20-D20+1,"")</f>
        <v>2</v>
      </c>
      <c r="G20" s="18">
        <v>0</v>
      </c>
      <c r="H20" s="25" t="s">
        <v>107</v>
      </c>
      <c r="I20" s="16" t="s">
        <v>138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21.75" customHeight="1">
      <c r="A21" s="13" t="s">
        <v>100</v>
      </c>
      <c r="B21" s="14" t="s">
        <v>101</v>
      </c>
      <c r="C21" s="13"/>
      <c r="D21" s="13"/>
      <c r="E21" s="13"/>
      <c r="F21" s="13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1.75" customHeight="1">
      <c r="A22" s="16" t="s">
        <v>143</v>
      </c>
      <c r="B22" s="17" t="s">
        <v>144</v>
      </c>
      <c r="C22" s="25" t="s">
        <v>130</v>
      </c>
      <c r="D22" s="26">
        <f>$B$5+2</f>
        <v>46155</v>
      </c>
      <c r="E22" s="26">
        <f>$B$5+2</f>
        <v>46155</v>
      </c>
      <c r="F22" s="27">
        <f>IF(AND(D22&lt;&gt;"",E22&lt;&gt;""),E22-D22+1,"")</f>
        <v>1</v>
      </c>
      <c r="G22" s="18">
        <v>1</v>
      </c>
      <c r="H22" s="25" t="s">
        <v>114</v>
      </c>
      <c r="I22" s="16" t="s">
        <v>128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145</v>
      </c>
      <c r="B23" s="24" t="s">
        <v>146</v>
      </c>
      <c r="C23" s="25" t="s">
        <v>130</v>
      </c>
      <c r="D23" s="26">
        <f>$B$5+3</f>
        <v>46156</v>
      </c>
      <c r="E23" s="26">
        <f>$B$5+4</f>
        <v>46157</v>
      </c>
      <c r="F23" s="27">
        <f>IF(AND(D23&lt;&gt;"",E23&lt;&gt;""),E23-D23+1,"")</f>
        <v>2</v>
      </c>
      <c r="G23" s="18">
        <v>0.6</v>
      </c>
      <c r="H23" s="25" t="s">
        <v>108</v>
      </c>
      <c r="I23" s="16" t="s">
        <v>143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147</v>
      </c>
      <c r="B24" s="24" t="s">
        <v>148</v>
      </c>
      <c r="C24" s="25" t="s">
        <v>118</v>
      </c>
      <c r="D24" s="26">
        <f>$B$5+4</f>
        <v>46157</v>
      </c>
      <c r="E24" s="26">
        <f>$B$5+6</f>
        <v>46159</v>
      </c>
      <c r="F24" s="27">
        <f>IF(AND(D24&lt;&gt;"",E24&lt;&gt;""),E24-D24+1,"")</f>
        <v>3</v>
      </c>
      <c r="G24" s="18">
        <v>0.3</v>
      </c>
      <c r="H24" s="25" t="s">
        <v>108</v>
      </c>
      <c r="I24" s="16" t="s">
        <v>149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6" t="s">
        <v>150</v>
      </c>
      <c r="B25" s="24" t="s">
        <v>151</v>
      </c>
      <c r="C25" s="25" t="s">
        <v>118</v>
      </c>
      <c r="D25" s="26">
        <f>$B$5+6</f>
        <v>46159</v>
      </c>
      <c r="E25" s="26">
        <f>$B$5+8</f>
        <v>46161</v>
      </c>
      <c r="F25" s="27">
        <f>IF(AND(D25&lt;&gt;"",E25&lt;&gt;""),E25-D25+1,"")</f>
        <v>3</v>
      </c>
      <c r="G25" s="18">
        <v>0</v>
      </c>
      <c r="H25" s="25" t="s">
        <v>107</v>
      </c>
      <c r="I25" s="16" t="s">
        <v>147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21.75" customHeight="1">
      <c r="A26" s="13" t="s">
        <v>102</v>
      </c>
      <c r="B26" s="14" t="s">
        <v>103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1.75" customHeight="1">
      <c r="A27" s="16" t="s">
        <v>152</v>
      </c>
      <c r="B27" s="17" t="s">
        <v>153</v>
      </c>
      <c r="C27" s="25" t="s">
        <v>127</v>
      </c>
      <c r="D27" s="26">
        <f>$B$5+8</f>
        <v>46161</v>
      </c>
      <c r="E27" s="26">
        <f>$B$5+10</f>
        <v>46163</v>
      </c>
      <c r="F27" s="27">
        <f>IF(AND(D27&lt;&gt;"",E27&lt;&gt;""),E27-D27+1,"")</f>
        <v>3</v>
      </c>
      <c r="G27" s="18">
        <v>0</v>
      </c>
      <c r="H27" s="25" t="s">
        <v>107</v>
      </c>
      <c r="I27" s="16" t="s">
        <v>154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155</v>
      </c>
      <c r="B28" s="24" t="s">
        <v>156</v>
      </c>
      <c r="C28" s="25" t="s">
        <v>130</v>
      </c>
      <c r="D28" s="26">
        <f>$B$5+10</f>
        <v>46163</v>
      </c>
      <c r="E28" s="26">
        <f>$B$5+11</f>
        <v>46164</v>
      </c>
      <c r="F28" s="27">
        <f>IF(AND(D28&lt;&gt;"",E28&lt;&gt;""),E28-D28+1,"")</f>
        <v>2</v>
      </c>
      <c r="G28" s="18">
        <v>0</v>
      </c>
      <c r="H28" s="25" t="s">
        <v>107</v>
      </c>
      <c r="I28" s="16" t="s">
        <v>152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 t="s">
        <v>157</v>
      </c>
      <c r="B29" s="24" t="s">
        <v>158</v>
      </c>
      <c r="C29" s="25" t="s">
        <v>124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107</v>
      </c>
      <c r="I29" s="16" t="s">
        <v>155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159</v>
      </c>
      <c r="B31" s="24" t="s">
        <v>160</v>
      </c>
      <c r="C31" s="25" t="s">
        <v>118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107</v>
      </c>
      <c r="I31" s="16" t="s">
        <v>155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161</v>
      </c>
      <c r="B32" s="24" t="s">
        <v>162</v>
      </c>
      <c r="C32" s="25" t="s">
        <v>130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107</v>
      </c>
      <c r="I32" s="16" t="s">
        <v>159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163</v>
      </c>
      <c r="B33" s="24" t="s">
        <v>164</v>
      </c>
      <c r="C33" s="25" t="s">
        <v>118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107</v>
      </c>
      <c r="I33" s="16" t="s">
        <v>161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6" spans="1:23" ht="15.6">
      <c r="A36" s="34" t="s">
        <v>106</v>
      </c>
      <c r="B36" s="34"/>
      <c r="C36" s="34"/>
      <c r="D36" s="34"/>
    </row>
    <row r="37" spans="1:23">
      <c r="A37" s="19" t="s">
        <v>107</v>
      </c>
      <c r="B37" s="31" t="s">
        <v>39</v>
      </c>
      <c r="C37" s="31"/>
      <c r="D37" s="31"/>
      <c r="E37" s="31"/>
      <c r="F37" s="31"/>
      <c r="G37" s="31"/>
      <c r="H37" s="31"/>
      <c r="I37" s="31"/>
    </row>
    <row r="38" spans="1:23" ht="15.6">
      <c r="A38" s="20" t="s">
        <v>108</v>
      </c>
      <c r="B38" s="31" t="s">
        <v>109</v>
      </c>
      <c r="C38" s="31"/>
      <c r="D38" s="31"/>
      <c r="E38" s="31"/>
      <c r="F38" s="31"/>
      <c r="G38" s="31"/>
      <c r="H38" s="31"/>
      <c r="I38" s="31"/>
    </row>
    <row r="39" spans="1:23" ht="15.6">
      <c r="A39" s="21" t="s">
        <v>110</v>
      </c>
      <c r="B39" s="31" t="s">
        <v>111</v>
      </c>
      <c r="C39" s="31"/>
      <c r="D39" s="31"/>
      <c r="E39" s="31"/>
      <c r="F39" s="31"/>
      <c r="G39" s="31"/>
      <c r="H39" s="31"/>
      <c r="I39" s="31"/>
    </row>
    <row r="40" spans="1:23" ht="15.6">
      <c r="A40" s="22" t="s">
        <v>112</v>
      </c>
      <c r="B40" s="31" t="s">
        <v>113</v>
      </c>
      <c r="C40" s="31"/>
      <c r="D40" s="31"/>
      <c r="E40" s="31"/>
      <c r="F40" s="31"/>
      <c r="G40" s="31"/>
      <c r="H40" s="31"/>
      <c r="I40" s="31"/>
    </row>
    <row r="41" spans="1:23" ht="15.6">
      <c r="A41" s="23" t="s">
        <v>114</v>
      </c>
      <c r="B41" s="31" t="s">
        <v>115</v>
      </c>
      <c r="C41" s="31"/>
      <c r="D41" s="31"/>
      <c r="E41" s="31"/>
      <c r="F41" s="31"/>
      <c r="G41" s="31"/>
      <c r="H41" s="31"/>
      <c r="I41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39:I39"/>
    <mergeCell ref="B40:I40"/>
    <mergeCell ref="B41:I41"/>
    <mergeCell ref="Q7:W7"/>
    <mergeCell ref="A9:I9"/>
    <mergeCell ref="A36:D36"/>
    <mergeCell ref="B37:I37"/>
    <mergeCell ref="B38:I38"/>
  </mergeCells>
  <phoneticPr fontId="30" type="noConversion"/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3">
    <cfRule type="cellIs" dxfId="30" priority="2" operator="equal">
      <formula>"시작 전"</formula>
    </cfRule>
    <cfRule type="cellIs" dxfId="29" priority="3" operator="equal">
      <formula>"진행 중"</formula>
    </cfRule>
    <cfRule type="cellIs" dxfId="28" priority="4" operator="equal">
      <formula>"주의"</formula>
    </cfRule>
    <cfRule type="cellIs" dxfId="27" priority="5" operator="equal">
      <formula>"지연"</formula>
    </cfRule>
    <cfRule type="cellIs" dxfId="26" priority="6" operator="equal">
      <formula>"완료"</formula>
    </cfRule>
  </conditionalFormatting>
  <conditionalFormatting sqref="J9:W9">
    <cfRule type="expression" dxfId="25" priority="14">
      <formula>J$9=TODAY()</formula>
    </cfRule>
    <cfRule type="expression" dxfId="24" priority="15">
      <formula>OR(WEEKDAY(J$9,2)=6,WEEKDAY(J$9,2)=7)</formula>
    </cfRule>
  </conditionalFormatting>
  <conditionalFormatting sqref="J10:W33">
    <cfRule type="expression" dxfId="23" priority="8">
      <formula>AND($D10&lt;&gt;"",$E10&lt;&gt;"",J$9&gt;=$D10,J$9&lt;=$E10,$H10="완료")</formula>
    </cfRule>
    <cfRule type="expression" dxfId="22" priority="9">
      <formula>AND($D10&lt;&gt;"",$E10&lt;&gt;"",J$9&gt;=$D10,J$9&lt;=$E10,$H10="진행 중")</formula>
    </cfRule>
    <cfRule type="expression" dxfId="21" priority="10">
      <formula>AND($D10&lt;&gt;"",$E10&lt;&gt;"",J$9&gt;=$D10,J$9&lt;=$E10,$H10="주의")</formula>
    </cfRule>
    <cfRule type="expression" dxfId="20" priority="11">
      <formula>AND($D10&lt;&gt;"",$E10&lt;&gt;"",J$9&gt;=$D10,J$9&lt;=$E10,$H10="지연")</formula>
    </cfRule>
    <cfRule type="expression" dxfId="19" priority="12">
      <formula>AND($D10&lt;&gt;"",$E10&lt;&gt;"",J$9&gt;=$D10,J$9&lt;=$E10,$H10="시작 전")</formula>
    </cfRule>
    <cfRule type="expression" dxfId="18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2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사용 가이드</vt:lpstr>
      <vt:lpstr>🗓️ 간트 차트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SSAFY</cp:lastModifiedBy>
  <cp:revision>0</cp:revision>
  <dcterms:created xsi:type="dcterms:W3CDTF">2026-05-06T03:18:14Z</dcterms:created>
  <dcterms:modified xsi:type="dcterms:W3CDTF">2026-05-08T07:07:38Z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